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04"/>
  <workbookPr/>
  <mc:AlternateContent xmlns:mc="http://schemas.openxmlformats.org/markup-compatibility/2006">
    <mc:Choice Requires="x15">
      <x15ac:absPath xmlns:x15ac="http://schemas.microsoft.com/office/spreadsheetml/2010/11/ac" url="https://d.docs.live.net/0d32946a96cad578/Documents/Purdue/TA Data Mine/Project General Info/"/>
    </mc:Choice>
  </mc:AlternateContent>
  <xr:revisionPtr revIDLastSave="144" documentId="8_{4328E619-9EE3-4A2C-8F32-D609870DCD7E}" xr6:coauthVersionLast="47" xr6:coauthVersionMax="47" xr10:uidLastSave="{3F7D63A7-873E-4C6F-B82D-4DADF0A65DFD}"/>
  <bookViews>
    <workbookView xWindow="2640" yWindow="2710" windowWidth="14400" windowHeight="7270" firstSheet="2" xr2:uid="{00000000-000D-0000-FFFF-FFFF00000000}"/>
  </bookViews>
  <sheets>
    <sheet name="Facility Condition Index" sheetId="1" r:id="rId1"/>
    <sheet name="Notes for Upcoming Meeting" sheetId="9" r:id="rId2"/>
    <sheet name="Fill in Stats for Simulation" sheetId="8" r:id="rId3"/>
    <sheet name="System Condition Index" sheetId="4" r:id="rId4"/>
    <sheet name="Key" sheetId="6" r:id="rId5"/>
    <sheet name="Projects" sheetId="2" r:id="rId6"/>
    <sheet name="Infra Work Orders" sheetId="3" r:id="rId7"/>
    <sheet name="Fuel &amp; Parts" sheetId="5" r:id="rId8"/>
  </sheets>
  <definedNames>
    <definedName name="_xlnm._FilterDatabase" localSheetId="0" hidden="1">'Facility Condition Index'!$A$1:$N$220</definedName>
    <definedName name="_xlnm._FilterDatabase" localSheetId="2" hidden="1">'Fill in Stats for Simulation'!$A$2:$L$15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203" i="1" l="1"/>
  <c r="V204" i="1"/>
  <c r="V205" i="1"/>
  <c r="V206" i="1"/>
  <c r="V207" i="1"/>
  <c r="V208" i="1"/>
  <c r="V209" i="1"/>
  <c r="V210" i="1"/>
  <c r="V211" i="1"/>
  <c r="V212" i="1"/>
  <c r="V213" i="1"/>
  <c r="V214" i="1"/>
  <c r="V215" i="1"/>
  <c r="V216" i="1"/>
  <c r="V217" i="1"/>
  <c r="V218" i="1"/>
  <c r="V219" i="1"/>
  <c r="V220"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6" i="1"/>
</calcChain>
</file>

<file path=xl/sharedStrings.xml><?xml version="1.0" encoding="utf-8"?>
<sst xmlns="http://schemas.openxmlformats.org/spreadsheetml/2006/main" count="1464" uniqueCount="571">
  <si>
    <t>Site</t>
  </si>
  <si>
    <t>Installation</t>
  </si>
  <si>
    <t>Space Mission Criticality</t>
  </si>
  <si>
    <t>Facility Number</t>
  </si>
  <si>
    <t>Year Constructed</t>
  </si>
  <si>
    <t>Age</t>
  </si>
  <si>
    <t>Degraded state anticipated</t>
  </si>
  <si>
    <t>Degraded state realized</t>
  </si>
  <si>
    <t>Title</t>
  </si>
  <si>
    <t>Dependency Chain</t>
  </si>
  <si>
    <t>Grade (resiliency)</t>
  </si>
  <si>
    <t>Condition Index</t>
  </si>
  <si>
    <t>Condition Index time series</t>
  </si>
  <si>
    <t>Unique Identifier</t>
  </si>
  <si>
    <t>Site A</t>
  </si>
  <si>
    <t>Mars AFB</t>
  </si>
  <si>
    <t>Heating - Cooling Plant</t>
  </si>
  <si>
    <t>S123</t>
  </si>
  <si>
    <t>Antenna support building</t>
  </si>
  <si>
    <t>S1</t>
  </si>
  <si>
    <t>Communication Facility</t>
  </si>
  <si>
    <t>Power generation Facility</t>
  </si>
  <si>
    <t>Ground Terminal T1</t>
  </si>
  <si>
    <t>S2</t>
  </si>
  <si>
    <t>Ops Facility T1</t>
  </si>
  <si>
    <t>P1</t>
  </si>
  <si>
    <t>A weighting factor for how much each facility contributes critically to the mission</t>
  </si>
  <si>
    <t>Data Center</t>
  </si>
  <si>
    <t>Calculate 10 years of prior Condition data collected at monthly intervals.
Create Condition Indices regressing backwards along decay function up to a maximum (at time of initial installation) at "99"</t>
  </si>
  <si>
    <t>Ops facilities = 3x</t>
  </si>
  <si>
    <t>Receiver Station</t>
  </si>
  <si>
    <t>Data centers = 2x</t>
  </si>
  <si>
    <t>Ground monitoring Station</t>
  </si>
  <si>
    <t>P3</t>
  </si>
  <si>
    <t xml:space="preserve">Range = 1-99, </t>
  </si>
  <si>
    <t>See key for life expectancy</t>
  </si>
  <si>
    <t>Power generation = 2x</t>
  </si>
  <si>
    <t xml:space="preserve">Range = 0-80, </t>
  </si>
  <si>
    <t>Current date - year constructed</t>
  </si>
  <si>
    <t>at 25% remaining service life</t>
  </si>
  <si>
    <t>unexpectedly occuring at 35% of records</t>
  </si>
  <si>
    <t>Pump Station</t>
  </si>
  <si>
    <t>S3</t>
  </si>
  <si>
    <t>Range = 1-4, 50% are 1s, 30% 2s, 10% 3s, 4% 4s</t>
  </si>
  <si>
    <t>7% below 50,</t>
  </si>
  <si>
    <t xml:space="preserve"> A=P*(1-R)^t</t>
  </si>
  <si>
    <t>Heating/cooling = 2x</t>
  </si>
  <si>
    <t>50% 20-40 years,</t>
  </si>
  <si>
    <t>Admin Office</t>
  </si>
  <si>
    <t>if all S's and T's are 1, P's Grade is 1</t>
  </si>
  <si>
    <t xml:space="preserve"> 5% above 85,</t>
  </si>
  <si>
    <t>Standby generators = 2x</t>
  </si>
  <si>
    <t>20% 10-20 years,</t>
  </si>
  <si>
    <t>Equipment Pad</t>
  </si>
  <si>
    <t>S</t>
  </si>
  <si>
    <t>if all S's and T's are 2, P's Grade is 2</t>
  </si>
  <si>
    <t>Remainder distributed between 50-85, mean value of 70</t>
  </si>
  <si>
    <t>substations = 2x</t>
  </si>
  <si>
    <t>20% 41years+</t>
  </si>
  <si>
    <t>Fuel Building</t>
  </si>
  <si>
    <t>if all S's and T's are 3, P's Grade is 3</t>
  </si>
  <si>
    <t>switching station = 2x</t>
  </si>
  <si>
    <t>10% less than 10 years</t>
  </si>
  <si>
    <t>Dorm Facility</t>
  </si>
  <si>
    <t>if all S's and T's are 4, P's Grade is 4</t>
  </si>
  <si>
    <t>comm facility = 2x</t>
  </si>
  <si>
    <t>Central Utility Plant</t>
  </si>
  <si>
    <t>If 70% of Tx  &gt;  1, then S = 2</t>
  </si>
  <si>
    <t>everything else = 1x</t>
  </si>
  <si>
    <t>Truck fill stand</t>
  </si>
  <si>
    <t>If 70% of Sx  &gt;  1, then P = 2</t>
  </si>
  <si>
    <t>Utility corridor</t>
  </si>
  <si>
    <t>If 70% of Tx  &gt;  2, then S = 3</t>
  </si>
  <si>
    <t>Radome Facility</t>
  </si>
  <si>
    <t>P2</t>
  </si>
  <si>
    <t>If 70% of Sx  &gt;  2, then P = 3</t>
  </si>
  <si>
    <t>Standby Generator</t>
  </si>
  <si>
    <t>If 70% of Tx  &gt;  3, then S = 4</t>
  </si>
  <si>
    <t>for establishing comparison of age vs. likelehood of failure</t>
  </si>
  <si>
    <t>Based off of recommendations in tandem with maitenance prediction</t>
  </si>
  <si>
    <t>Based off of a momentary assessment of facilty by a potential inspector/More so for unexpected outcomes contrary to column H, possibly tied into 'Infra work Orders' tab</t>
  </si>
  <si>
    <t>Switching Station</t>
  </si>
  <si>
    <t>If 70% of Sx  &gt;  3, then P = 4</t>
  </si>
  <si>
    <t>Priotized Critical Asset List (PCAL)</t>
  </si>
  <si>
    <t>Fuel intake Facility</t>
  </si>
  <si>
    <t>T123</t>
  </si>
  <si>
    <t>asset importance ranking</t>
  </si>
  <si>
    <t>Storage Facility</t>
  </si>
  <si>
    <t>Site B</t>
  </si>
  <si>
    <t>Jupiter AFB</t>
  </si>
  <si>
    <t>Resilency Grading and UFC related</t>
  </si>
  <si>
    <t>All Tx's support all Sx's</t>
  </si>
  <si>
    <t>All Sx's support all Px's</t>
  </si>
  <si>
    <t>Ground Terminal T2</t>
  </si>
  <si>
    <t>Ops Facility T2</t>
  </si>
  <si>
    <t>Fuel Farm</t>
  </si>
  <si>
    <t>UPS Building</t>
  </si>
  <si>
    <t>Substation</t>
  </si>
  <si>
    <t>Site C</t>
  </si>
  <si>
    <t>Andromeda SFB</t>
  </si>
  <si>
    <t>Ground Terminal T3</t>
  </si>
  <si>
    <t>Ops Facility T3</t>
  </si>
  <si>
    <t>Entry control point</t>
  </si>
  <si>
    <t>Maintenance Shop</t>
  </si>
  <si>
    <t>Water Treatment Facility</t>
  </si>
  <si>
    <t>Site D</t>
  </si>
  <si>
    <t>Neptune SFB</t>
  </si>
  <si>
    <t>Ground Terminal T4</t>
  </si>
  <si>
    <t>Ops Facility T4</t>
  </si>
  <si>
    <t>Site E</t>
  </si>
  <si>
    <t>Moonbase 1</t>
  </si>
  <si>
    <t>Ground Terminal T5</t>
  </si>
  <si>
    <t>Ops Facility T5</t>
  </si>
  <si>
    <t>Site F</t>
  </si>
  <si>
    <t>Moonbase 2</t>
  </si>
  <si>
    <t>Ground Terminal T6</t>
  </si>
  <si>
    <t>Ops Facility T6</t>
  </si>
  <si>
    <t>Site G</t>
  </si>
  <si>
    <t>Ground Terminal T7</t>
  </si>
  <si>
    <t>Ops Facility T7</t>
  </si>
  <si>
    <t>Site H</t>
  </si>
  <si>
    <t>Mercury SFB</t>
  </si>
  <si>
    <t>Ground Terminal T8</t>
  </si>
  <si>
    <t>Ops Facility T8</t>
  </si>
  <si>
    <t>Site I</t>
  </si>
  <si>
    <t>Venus SFB</t>
  </si>
  <si>
    <t>Ground Terminal T9</t>
  </si>
  <si>
    <t>Ops Facility T9</t>
  </si>
  <si>
    <t>Site J</t>
  </si>
  <si>
    <t>Ground Terminal T10</t>
  </si>
  <si>
    <t>Ops Facility T10</t>
  </si>
  <si>
    <t>Can have repeated id across sites</t>
  </si>
  <si>
    <t>RPOID</t>
  </si>
  <si>
    <t xml:space="preserve">A deeper explanation on the degraded state realized and degraded state anticipated, how are these derived, where do they fit into the larger model </t>
  </si>
  <si>
    <t>Inside of key what is the meaning of occupied vs un-occupied column</t>
  </si>
  <si>
    <t>An overall conceptual model of the 'tree' which makes up the structure of the wider tree</t>
  </si>
  <si>
    <t>Project categorical data: the project sites consists of sites from A to J in Alphabetic order.</t>
  </si>
  <si>
    <t xml:space="preserve"> </t>
  </si>
  <si>
    <t>FCI = repair needs/replacement value</t>
  </si>
  <si>
    <t>anticipated degradation year is condition index for t number of years.</t>
  </si>
  <si>
    <t>CIₜ=CI₀-(t*ΔCI)</t>
  </si>
  <si>
    <t>CI range from 1 to 99</t>
  </si>
  <si>
    <t xml:space="preserve"> this is just a linear formula not exnonential. </t>
  </si>
  <si>
    <t>Field</t>
  </si>
  <si>
    <t>Type</t>
  </si>
  <si>
    <t>Min</t>
  </si>
  <si>
    <t>Max</t>
  </si>
  <si>
    <t>Mean</t>
  </si>
  <si>
    <t>Distribution</t>
  </si>
  <si>
    <t>Std Dev</t>
  </si>
  <si>
    <t>Categories  and Frequencies</t>
  </si>
  <si>
    <t>Notes</t>
  </si>
  <si>
    <t>Categorical</t>
  </si>
  <si>
    <t xml:space="preserve">FCI tab has shows a 1-N list </t>
  </si>
  <si>
    <t xml:space="preserve">Listed on the FCI tab Facility Condition Tab </t>
  </si>
  <si>
    <t xml:space="preserve">each installation hosts between 1 and 9 mission sets.  The missions at each site the higher priority.  Facility Condition Tab has guidelings on each mission </t>
  </si>
  <si>
    <t xml:space="preserve">ten sites with various number and condition of facilities </t>
  </si>
  <si>
    <t>each site should have at least 8 facilities with system conditions based on the system condition index tab and less than 40 for the test model</t>
  </si>
  <si>
    <t>Remaining Service Life</t>
  </si>
  <si>
    <t>Numeric</t>
  </si>
  <si>
    <t xml:space="preserve">degradation curve </t>
  </si>
  <si>
    <t xml:space="preserve">listed on the FCI tab Coulm K </t>
  </si>
  <si>
    <t>randomize the # of facilities and lable them between 1-9999 for each site.  They do not have to be in numerical order</t>
  </si>
  <si>
    <t>?</t>
  </si>
  <si>
    <t xml:space="preserve">based on the humans servicing emergencies and bandaids the systems never get to "0", but the lower the number the higher the capital costs (human labor and $) </t>
  </si>
  <si>
    <t>lets apply a degradation curve to each cat on the system condition index for now make an educated guess for each named system and at 25% its "degraded" to stop the mission the Key has the ecpectancy for see Key Tab</t>
  </si>
  <si>
    <t xml:space="preserve">Coulum M FCI tab </t>
  </si>
  <si>
    <t xml:space="preserve">Coulm L FCI tab </t>
  </si>
  <si>
    <t>Remainder randomly set between 50-85,</t>
  </si>
  <si>
    <t>Age (years)</t>
  </si>
  <si>
    <t xml:space="preserve">Facility Condition Index has Age paramaters </t>
  </si>
  <si>
    <t>Foundation</t>
  </si>
  <si>
    <t>Basement</t>
  </si>
  <si>
    <t>Superstructure</t>
  </si>
  <si>
    <t>Exterior Structure</t>
  </si>
  <si>
    <t>Roofing</t>
  </si>
  <si>
    <t xml:space="preserve">Interior Construction </t>
  </si>
  <si>
    <t xml:space="preserve">Creation of. SCIF (Secure intelligence faciltity) </t>
  </si>
  <si>
    <t>Stairs</t>
  </si>
  <si>
    <t>Interior Finishes</t>
  </si>
  <si>
    <t>Conveying</t>
  </si>
  <si>
    <t>Plumbing</t>
  </si>
  <si>
    <t>Art (Literally)</t>
  </si>
  <si>
    <t>HVAC</t>
  </si>
  <si>
    <t>Fire Protection</t>
  </si>
  <si>
    <t>Electric</t>
  </si>
  <si>
    <t>Furnishing</t>
  </si>
  <si>
    <t>Protection</t>
  </si>
  <si>
    <t>Special construction</t>
  </si>
  <si>
    <t>Improvements</t>
  </si>
  <si>
    <t>Utilities</t>
  </si>
  <si>
    <t>Other Construction</t>
  </si>
  <si>
    <t>Repeat for each UI, 2-217</t>
  </si>
  <si>
    <t>Trying to conceptually unpack the makeup of a facility, potentially finding a way to determine the makeup of a facility and the likelehood of a given facility to have this type of system.</t>
  </si>
  <si>
    <t>Key</t>
  </si>
  <si>
    <t>Facilities</t>
  </si>
  <si>
    <t>Life expectancy</t>
  </si>
  <si>
    <t>Systems</t>
  </si>
  <si>
    <t xml:space="preserve">all </t>
  </si>
  <si>
    <t>occupied</t>
  </si>
  <si>
    <t>1-8, 14, 15, 18, 21, 24, 25, 26</t>
  </si>
  <si>
    <t>unoccupied</t>
  </si>
  <si>
    <t>all except 16, 20, 27</t>
  </si>
  <si>
    <t>Interior Construction</t>
  </si>
  <si>
    <t>all except 16, 17, 20, 23, 27</t>
  </si>
  <si>
    <t>6, 11, 14, 19</t>
  </si>
  <si>
    <t>Art</t>
  </si>
  <si>
    <t>all except 12, 16, 17, 20, 23, 28</t>
  </si>
  <si>
    <t>all except 12</t>
  </si>
  <si>
    <t>2-9, 11, 15, 19, 21</t>
  </si>
  <si>
    <t>all except 16</t>
  </si>
  <si>
    <t>all except 12, 17</t>
  </si>
  <si>
    <t>Special construction2</t>
  </si>
  <si>
    <t>Primary</t>
  </si>
  <si>
    <t>Secondary</t>
  </si>
  <si>
    <t>Tertiary</t>
  </si>
  <si>
    <t>Denotes wether or not there are staff onsite for a particular facility, and the ability for someone to notice that this facility has failed</t>
  </si>
  <si>
    <t>The immediacy of feedback from this facility may not be readily apparent until external failures cascade</t>
  </si>
  <si>
    <t>Site Name</t>
  </si>
  <si>
    <t>Project title</t>
  </si>
  <si>
    <t>Scope</t>
  </si>
  <si>
    <t>Fiscal Year</t>
  </si>
  <si>
    <t>Cost</t>
  </si>
  <si>
    <t>Building Number</t>
  </si>
  <si>
    <t>System Relationship</t>
  </si>
  <si>
    <t>Repair Building 123</t>
  </si>
  <si>
    <t>Location:1783 Horizon Drive, Zone A, Building 1783
Cost:$4.2M
Start Year:2026
The HVAC system in Building 1783 has been operating at reduced capacity due to failing compressors and corroded ductwork. This project will replace the compressors, repair the ductwork, and install energy-efficient cooling units to restore optimal climate control for the operational center.</t>
  </si>
  <si>
    <t>Repair Building 456</t>
  </si>
  <si>
    <t>Location:2318 Pioneer Lane, Zone B, Building 2318
Cost:$850K
Start Year:2027
The electrical distribution panels in Building 2318 have degraded due to age, leading to frequent power outages. This project will replace the panels, upgrade the wiring, and install surge protection to ensure reliable power distribution.</t>
  </si>
  <si>
    <t>Analyze keywords in scope text to guess which facility systems will and will not be improved via each project.</t>
  </si>
  <si>
    <t>Location:1039 Liberty Avenue, Zone C, Building 1039
Cost:$21.5M
Start Year:2026
The cooling tower at Building 1039 has significant corrosion and scaling, reducing its efficiency. This project will replace the cooling tower, install a water treatment system, and upgrade the associated piping to restore full cooling capacity.</t>
  </si>
  <si>
    <t>Once each system to be improved is identified, calculate how much condition score (a measure of all facility condition and system scores, assuming facility and all related system elements will be restored to a BCI or SCI of '99', per project cost.</t>
  </si>
  <si>
    <t>Location:4151 Victory Road, Zone D, Building 4151
Cost:$2.3M
Start Year:2028
The backup generators at Building 4151 are outdated and prone to failure during power outages. This project will replace the generators with modern, high-capacity units and integrate them with the building’s power management system.</t>
  </si>
  <si>
    <t>Location:3550 Summit Street, Zone E, Building 3550
Cost:$7.1M
Start Year:2027
The main electrical switchgear in Building 3550 has reached the end of its service life, causing safety concerns. This project will replace the switchgear, upgrade the grounding system, and install advanced monitoring equipment.</t>
  </si>
  <si>
    <t>Location:1225 Ridgeway Drive, Zone F, Building 1225
Cost:$900K
Start Year:2026
The air handling units in Building 1225 are leaking and unable to maintain proper airflow. This project will replace the units, seal the ductwork, and install variable frequency drives to improve energy efficiency.</t>
  </si>
  <si>
    <t>Location:2702 Maple Lane, Zone G, Building 2702
Cost:$14.8M
Start Year:2028
The power distribution transformers at Building 2702 are overheating due to insulation breakdown. This project will replace the transformers, install cooling fans, and upgrade the protective relays to enhance reliability.</t>
  </si>
  <si>
    <t>Location:200 Elm Street, Zone H, Building 200
Cost:$750K
Start Year:2026
The cooling system in Building 200 is undersized and unable to meet current operational demands. This project will install additional chillers, upgrade the pumps, and optimize the control system for improved performance.</t>
  </si>
  <si>
    <t>Location:49 Cedar Avenue, Zone I, Building 49
Cost:$9.4M
Start Year:2027
The electrical wiring in Building 49 is outdated and poses a fire hazard. This project will replace the wiring, install arc-fault protection, and upgrade the lighting system to meet modern safety standards.</t>
  </si>
  <si>
    <t>Location:699 Birch Road, Zone J, Building 699
Cost:$2.0M
Start Year:2028
The cooling infrastructure at Building 699 has failing chillers and inefficient piping. This project will replace the chillers, install insulated piping, and integrate a building automation system to optimize cooling efficiency.</t>
  </si>
  <si>
    <t>Location:4068 Aspen Drive, Zone K, Building 4068
Cost:$1.6M
Start Year:2027
The rooftop HVAC units at Building 4068 are leaking refrigerant and unable to maintain consistent temperatures. This project will replace the units, repair the roof penetrations, and install energy-efficient systems.</t>
  </si>
  <si>
    <t>Location:5102 Oak Lane, Zone L, Building 5102
Cost:$22.3M
Start Year:2026
The power generation facility at Building 5102 has failing fuel storage tanks and corroded piping. This project will replace the tanks, install double-walled piping, and upgrade the fuel delivery system to meet environmental standards.</t>
  </si>
  <si>
    <t>Location:2464 Pine Street, Zone M, Building 2464
Cost:$2.7M
Start Year:2028
The electrical substation at Building 2464 has outdated circuit breakers and transformers. This project will replace the breakers, upgrade the transformers, and install remote monitoring equipment for improved reliability.</t>
  </si>
  <si>
    <t>Location:4119 Spruce Avenue, Zone N, Building 4119
Cost:$1.0M
Start Year:2027
The cooling system in Building 4119 is experiencing frequent compressor failures. This project will replace the compressors, install a redundant cooling loop, and upgrade the control system to prevent future failures.</t>
  </si>
  <si>
    <t>Location:3100 Willow Drive, Zone O, Building 3100
Cost:$1.9M
Start Year:2026
The power distribution network at Building 3100 has failing underground cables and overloaded circuits. This project will replace the cables, install load-balancing equipment, and upgrade the distribution panels.</t>
  </si>
  <si>
    <t>Location:1283 Cypress Lane, Zone P, Building 1283
Cost:$1.2M
Start Year:2028
The HVAC system in Building 1283 is unable to maintain proper humidity levels, leading to equipment malfunctions. This project will replace the HVAC units, install dehumidifiers, and upgrade the control system for precise climate management.</t>
  </si>
  <si>
    <t>Location:3137 Magnolia Street, Zone Q, Building 3137
Cost:$9.5M
Start Year:2027
The electrical panels in Building 3137 are overloaded and prone to tripping during peak usage. This project will replace the panels, install additional circuits, and upgrade the wiring to support increased operational demands.</t>
  </si>
  <si>
    <t>Location:2597 Redwood Avenue, Zone R, Building 2597
Cost:$3.8M
Start Year:2026
The cooling infrastructure at Building 2597 has failing pumps and clogged heat exchangers. This project will replace the pumps, clean and repair the heat exchangers, and install a monitoring system to ensure optimal performance.</t>
  </si>
  <si>
    <t>Location:3892 Chestnut Drive, Zone S, Building 3892
Cost:$2.2M
Start Year:2028
The backup power generators at Building 3892 are outdated and unreliable during outages. This project will replace the generators, install automatic transfer switches, and integrate the system with the building’s power grid.</t>
  </si>
  <si>
    <t>Location:3928 Fir Lane, Zone T, Building 3928
Cost:$16.3M
Start Year:2027
The HVAC system in Building 3928 is leaking refrigerant and unable to maintain consistent temperatures. This project will replace the HVAC units, repair the refrigerant lines, and install energy-efficient systems.</t>
  </si>
  <si>
    <t>Location:3883 Maple Court, Zone U, Building 3883
Cost:$5.6M
Start Year:2026
The electrical distribution system in Building 3883 has failing transformers and overloaded circuits. This project will replace the transformers, install load-balancing equipment, and upgrade the distribution panels.</t>
  </si>
  <si>
    <t>Location:1432 Birchwood Drive, Zone V, Building 1432
Cost:$1.4M
Start Year:2028
The cooling tower at Building 1432 is corroded and operating at reduced efficiency. This project will replace the cooling tower, install a water treatment system, and upgrade the associated piping.</t>
  </si>
  <si>
    <t>Location:4063 Elmwood Avenue, Zone W, Building 4063
Cost:$34.7M
Start Year:2027
The power generation facility at Building 4063 has failing fuel pumps and corroded storage tanks. This project will replace the pumps, install new tanks, and upgrade the fuel delivery system to meet environmental standards.</t>
  </si>
  <si>
    <t>Location:2339 Pinecrest Lane, Zone X, Building 2339
Cost:$2.2M
Start Year:2026
The HVAC system in Building 2339 is unable to maintain proper airflow due to clogged filters and failing fans. This project will replace the fans, clean the ductwork, and install advanced air filtration systems.</t>
  </si>
  <si>
    <t>Location:1223 Willow Way, Zone Y, Building 1223
Cost:$11.9M
Start Year:2028
The electrical wiring in Building 1223 is outdated and poses a fire hazard. This project will replace the wiring, install arc-fault protection, and upgrade the cyber security requirements and lighting system to meet modern safety standards.</t>
  </si>
  <si>
    <t>Location:1916 Cedarwood Drive, Zone Z, Building 1916
Cost:$12.5M
Start Year:2027
The cooling infrastructure at Building 1916 has failing chillers and inefficient piping. This project will replace the chillers, install insulated piping, and integrate a building automation system to optimize cooling efficiency.</t>
  </si>
  <si>
    <t>Location:4093 Aspen Court, Zone AA, Building 4093
Cost:$5.6M
Start Year:2026
The rooftop HVAC units at Building 4093 are leaking refrigerant and unable to maintain consistent temperatures. This project will replace the units, repair the roof penetrations, and install energy-efficient systems.</t>
  </si>
  <si>
    <t>Location:3910 Oakwood Lane, Zone BB, Building 3910
Cost:$45.3M
Start Year:2028
The power generation facility at Building 3910 has failing fuel storage tanks and corroded piping. This project will replace the tanks, install double-walled piping, and upgrade the fuel delivery system to meet environmental standards.</t>
  </si>
  <si>
    <t>Location:2119 Spruce Court, Zone CC, Building 2119
Cost:$32.7M
Start Year:2027
The electrical substation at Building 2119 has outdated circuit breakers and transformers. This project will replace the breakers, upgrade the transformers, and install remote monitoring equipment for improved reliability.</t>
  </si>
  <si>
    <t>Location:450 Redwood Street, Zone DD, Building 450
Cost:$1.0M
Start Year:2026
The cooling system in Building 450 is experiencing frequent compressor failures. This project will replace the compressors, install a redundant cooling loop, and upgrade the control system to prevent future failures.</t>
  </si>
  <si>
    <t>Location:1375 Magnolia Avenue, Zone EE, Building 1375
Cost:$1.9M
Start Year:2028
The power distribution network at Building 1375 has failing underground cables and overloaded circuits. This project will replace the cables, install load-balancing equipment, and upgrade the distribution panels.</t>
  </si>
  <si>
    <t>Location:2740 Cypress Drive, Zone FF, Building 2740
Cost:$1.2M
Start Year:2027
The HVAC system in Building 2740 is unable to maintain proper humidity levels, leading to equipment malfunctions. This project will replace the HVAC units, install dehumidifiers, and upgrade the control system for precise climate management.</t>
  </si>
  <si>
    <t>Location:4793 Horizon Lane, Zone GG, Building 4793
Cost:$7.8M
Start Year:2026
The electrical panels in Building 4793 are outdated and prone to frequent failures during high-demand periods. This project will replace the panels, install additional circuits, and upgrade the wiring to support increased operational loads.</t>
  </si>
  <si>
    <t>Location:2803 Pioneer Drive, Zone HH, Building 2803
Cost:$1.4M
Start Year:2027
The cooling infrastructure at Building 2803 has failing heat exchangers and inefficient pumps. This project will replace the heat exchangers, upgrade the pumps, and install a monitoring system to ensure optimal cooling performance.</t>
  </si>
  <si>
    <t>Location:2788 Liberty Avenue, Zone II, Building 2788
Cost:$26.1M
Start Year:2028
The backup power generators at Building 2788 are unreliable and unable to meet current operational demands. This project will replace the generators, install automatic transfer switches, and integrate the system with the building’s power grid.</t>
  </si>
  <si>
    <t>Location:184 Victory Road, Zone JJ, Building 184
Cost:$1.3M
Start Year:2026
The HVAC system in Building 184 is leaking refrigerant and unable to maintain consistent temperatures. This project will replace the HVAC units, repair the refrigerant lines, and install energy-efficient systems.</t>
  </si>
  <si>
    <t>Location:406 Summit Street, Zone KK, Building 406
Cost:$18.6M
Start Year:2027
The electrical distribution system in Building 406 has failing transformers and overloaded circuits. This project will replace the transformers, install load-balancing equipment, and upgrade the distribution panels.</t>
  </si>
  <si>
    <t>Location:2810 Ridgeway Drive, Zone LL, Building 2810
Cost:$8.5M
Start Year:2028
The cooling tower at Building 2810 is corroded and operating at reduced efficiency. This project will replace the cooling tower, install a water treatment system, and upgrade the associated piping.</t>
  </si>
  <si>
    <t>Location:2101 Maple Lane, Zone MM, Building 2101
Cost:$14.7M
Start Year:2026
The power generation facility at Building 2101 has failing fuel pumps and corroded storage tanks. This project will replace the pumps, install new tanks, and upgrade the fuel delivery system to meet environmental standards.</t>
  </si>
  <si>
    <t>Location:3070 Elm Street, Zone NN, Building 3070
Cost:$1.2M
Start Year:2027
The HVAC system in Building 3070 is unable to maintain proper airflow due to clogged filters and failing fans. This project will replace the fans, clean the ductwork, and install advanced air filtration systems.</t>
  </si>
  <si>
    <t>Location:5079 Cedar Avenue, Zone OO, Building 5079
Cost:$5.9M
Start Year:2028
The electrical wiring in Building 5079 is outdated and poses a fire hazard. This project will replace the wiring, install arc-fault protection, and upgrade the lighting system to meet modern safety standards.</t>
  </si>
  <si>
    <t>Location:745 Birch Road, Zone PP, Building 745
Cost:$1.4M
Start Year:2026
The cooling infrastructure at Building 745 has failing chillers and inefficient piping. This project will replace the chillers, install insulated piping, and integrate a building automation system to optimize cooling efficiency.</t>
  </si>
  <si>
    <t>Location:570 Aspen Drive, Zone QQ, Building 570
Cost:$4.6M
Start Year:2027
The rooftop HVAC units at Building 570 are leaking refrigerant and unable to maintain consistent temperatures. This project will replace the units, repair the roof penetrations, and install energy-efficient systems.</t>
  </si>
  <si>
    <t>Location:3607 Oak Lane, Zone RR, Building 3607
Cost:$1.3M
Start Year:2028
The power generation facility at Building 3607 has failing fuel storage tanks and corroded piping. This project will replace the tanks, install double-walled piping, and upgrade the fuel delivery system to meet environmental standards.</t>
  </si>
  <si>
    <t>Location:3679 Pine Street, Zone SS, Building 3679
Cost:$1.7M
Start Year:2026
The electrical substation at Building 3679 has outdated circuit breakers and transformers. This project will replace the breakers, upgrade the transformers, and install remote monitoring equipment for improved reliability.</t>
  </si>
  <si>
    <t>Location:2281 Spruce Avenue, Zone TT, Building 2281
Cost:$1.0M
Start Year:2027
The cooling system in Building 2281 is experiencing frequent compressor failures. This project will replace the compressors, install a redundant cooling loop, and upgrade the control system to prevent future failures.</t>
  </si>
  <si>
    <t>Location:976 Willow Drive, Zone UU, Building 976
Cost:$16.9M
Start Year:2028
The power distribution network at Building 976 has failing underground cables and overloaded circuits. This project will replace the cables, install load-balancing equipment, and upgrade the distribution panels.</t>
  </si>
  <si>
    <t>Location:4349 Cypress Lane, Zone VV, Building 4349
Cost:$1.2M
Start Year:2026
The HVAC system in Building 4349 is unable to maintain proper humidity levels, leading to equipment malfunctions. This project will replace the HVAC units, install dehumidifiers, and upgrade the control system for precise climate management.</t>
  </si>
  <si>
    <t>Location:604 Horizon Drive, Zone WW, Building 604
Cost:$1.8M
Start Year:2026
The electrical panels in Building 604 are outdated and prone to frequent failures during high-demand periods. This project will replace the panels, install additional circuits, and upgrade the wiring to support increased operational loads.</t>
  </si>
  <si>
    <t>Location:3149 Pioneer Drive, Zone XX, Building 3149
Cost:$1.4M
Start Year:2027
The cooling infrastructure at Building 3149 has failing heat exchangers and inefficient pumps. This project will replace the heat exchangers, upgrade the pumps, and install a monitoring system to ensure optimal cooling performance.</t>
  </si>
  <si>
    <t>Location:2458 Liberty Avenue, Zone YY, Building 2458
Cost:$24.1M
Start Year:2028
The backup power generators at Building 2458 are unreliable and unable to meet current operational demands. This project will replace the generators, install automatic transfer switches, and integrate the system with the building’s power grid.</t>
  </si>
  <si>
    <t>Location:3390 Victory Road, Zone ZZ, Building 3390
Cost:$1.3M
Start Year:2026
The HVAC system in Building 3390 is leaking refrigerant and unable to maintain consistent temperatures. This project will replace the HVAC units, repair the refrigerant lines, and install energy-efficient systems.</t>
  </si>
  <si>
    <t>Location:2481 Summit Street, Zone AAA, Building 2481
Cost:$5.6M
Start Year:2027
The electrical distribution system in Building 2481 has failing transformers and overloaded circuits. This project will replace the transformers, install load-balancing equipment, and upgrade the distribution panels.</t>
  </si>
  <si>
    <t>Location:1965 Ridgeway Drive, Zone BBB, Building 1965
Cost:$1.5M
Start Year:2028
The cooling tower at Building 1965 is corroded and operating at reduced efficiency. This project will replace the cooling tower, install a water treatment system, and upgrade the associated piping.</t>
  </si>
  <si>
    <t>Location:76 Maple Lane, Zone CCC, Building 76
Cost:$1.7M
Start Year:2026
The power generation facility at Building 76 has failing fuel pumps and corroded storage tanks. This project will replace the pumps, install new tanks, and upgrade the fuel delivery system to meet environmental standards.</t>
  </si>
  <si>
    <t>Location:1157 Elm Street, Zone DDD, Building 1157
Cost:$8.2M
Start Year:2027
The HVAC system in Building 1157 is unable to maintain proper airflow due to clogged filters and failing fans. This project will replace the fans, clean the ductwork, and install advanced air filtration systems.</t>
  </si>
  <si>
    <t>Location:3628 Cedar Avenue, Zone EEE, Building 3628
Cost:$1.9M
Start Year:2028
The electrical wiring in Building 3628 is outdated and poses a fire hazard. This project will replace the wiring, install arc-fault protection, and upgrade the lighting system to meet modern safety standards.</t>
  </si>
  <si>
    <t>Location:4253 Birch Road, Zone FFF, Building 4253
Cost:$19.4M
Start Year:2026
The cooling infrastructure at Building 4253 has failing chillers and inefficient piping. This project will replace the chillers, install insulated piping, and integrate a building automation system to optimize cooling efficiency.</t>
  </si>
  <si>
    <t>Location:1774 Aspen Drive, Zone GGG, Building 1774
Cost:$1.6M
Start Year:2027
The rooftop HVAC units at Building 1774 are leaking refrigerant and unable to maintain consistent temperatures. This project will replace the units, repair the roof penetrations, and install energy-efficient systems.</t>
  </si>
  <si>
    <t>Location:791 Oak Lane, Zone HHH, Building 791
Cost:$1.3M
Start Year:2028
The power generation facility at Building 791 has failing fuel storage tanks and corroded piping. This project will replace the tanks, install double-walled piping, and upgrade the fuel delivery system to meet environmental standards.</t>
  </si>
  <si>
    <t>Location:3051 Pine Street, Zone III, Building 3051
Cost:$35.7M
Start Year:2026
The electrical substation at Building 3051 has outdated circuit breakers and transformers. This project will replace the breakers, upgrade the transformers, and install remote monitoring equipment for improved reliability.</t>
  </si>
  <si>
    <t>Location:1129 Spruce Avenue, Zone JJJ, Building 1129
Cost:$1.0M
Start Year:2027
The cooling system in Building 1129 is experiencing frequent compressor failures. This project will replace the compressors, install a redundant cooling loop, and upgrade the control system to prevent future failures.</t>
  </si>
  <si>
    <t>Location:5236 Willow Drive, Zone KKK, Building 5236
Cost:$1.9M
Start Year:2028
The power distribution network at Building 5236 has failing underground cables and overloaded circuits. This project will replace the cables, install load-balancing equipment, and upgrade the distribution panels.</t>
  </si>
  <si>
    <t>Location:2299 Cypress Lane, Zone LLL, Building 2299
Cost:$1.2M
Start Year:2026
The HVAC system in Building 2299 is unable to maintain proper humidity levels, leading to equipment malfunctions. This project will replace the HVAC units, install dehumidifiers, and upgrade the control system for precise climate management.</t>
  </si>
  <si>
    <t>Work order number</t>
  </si>
  <si>
    <t>Degraded State:The HVAC system in Building 1783 is operating at reduced capacity due to clogged filters and failing compressors.
Occurred:February 2025
Discovered:March 2025
Correction Deadline:October 2025
Coordinating Office:Facilities Maintenance Office (FMO)
Parts Needed:Replacement compressors (Model X-450), HEPA filters
Cause:Lack of proper and timely maintenance</t>
  </si>
  <si>
    <t>Degraded State:Electrical wiring in Building 2318 has degraded insulation, causing intermittent power outages.
Occurred:January 2025
Discovered:February 2025
Correction Deadline:September 2025
Coordinating Office:Electrical Systems Office (ESO)
Parts Needed:High-voltage wiring (Type HV-300), junction boxes
Cause:Unplanned system failure</t>
  </si>
  <si>
    <t>Degraded State:The cooling tower shared between Buildings 1039 and 4151 has corroded piping and reduced efficiency.
Occurred:November 2024
Discovered:December 2024
Correction Deadline:August 2025
Coordinating Office:Utilities Management Office (UMO)
Parts Needed:Replacement piping (Type CP-200), anti-corrosion coating
Cause:Weather-related event</t>
  </si>
  <si>
    <t>Degraded State:The industrial control system for Building 3550 was compromised during a cyber attack, leading to erratic HVAC operation.
Occurred:April 2025
Discovered:April 2025
Correction Deadline:June 2025
Coordinating Office:Cybersecurity Office (CSO)
Parts Needed:Replacement control modules (Model IC-700), firmware updates
Cause:Cyber attack</t>
  </si>
  <si>
    <t>Degraded State:Plumbing in Building 1225 is leaking due to cracked pipes, causing water damage to adjacent rooms.
Occurred:March 2025
Discovered:March 2025
Correction Deadline:July 2025
Coordinating Office:Plumbing Services Office (PSO)
Parts Needed:Replacement pipes (Type PVC-100), sealant
Cause:Lack of proper and timely maintenance</t>
  </si>
  <si>
    <t>Degraded State:The backup generator shared between Buildings 2702 and 200 failed during a power outage due to a damaged fuel pump.
Occurred:February 2025
Discovered:February 2025
Correction Deadline:May 2025
Coordinating Office:Emergency Power Office (EPO)
Parts Needed:Fuel pump (Model FP-300), fuel line connectors
Cause:Unplanned system failure</t>
  </si>
  <si>
    <t>Degraded State:The roof of Building 49 sustained damage during a severe hailstorm, causing leaks in multiple areas.
Occurred:January 2025
Discovered:January 2025
Correction Deadline:April 2025
Coordinating Office:Structural Maintenance Office (SMO)
Parts Needed:Roofing panels (Type RP-500), waterproof sealant
Cause:Catastrophic weather event</t>
  </si>
  <si>
    <t>Degraded State:The electrical distribution network spanning Buildings 699, 4068, and 5102 is overloaded due to outdated transformers.
Occurred:December 2024
Discovered:January 2025
Correction Deadline:October 2025
Coordinating Office:Electrical Systems Office (ESO)
Parts Needed:Transformers (Model T-800), circuit breakers
Cause:Lack of proper and timely maintenance</t>
  </si>
  <si>
    <t>Degraded State:The HVAC system in Building 2464 is leaking refrigerant due to corroded coils.
Occurred:February 2025
Discovered:March 2025
Correction Deadline:August 2025
Coordinating Office:Facilities Maintenance Office (FMO)
Parts Needed:Replacement coils (Type RC-100), refrigerant (Type R-410A)
Cause:Weather-related event</t>
  </si>
  <si>
    <t>Degraded State:The industrial control system for Building 4119 was compromised during a cyber attack, causing lighting and HVAC malfunctions.
Occurred:March 2025
Discovered:March 2025
Correction Deadline:May 2025
Coordinating Office:Cybersecurity Office (CSO)
Parts Needed:Control system patches, replacement modules (Model IC-500)
Cause:Cyber attack</t>
  </si>
  <si>
    <t>Degraded State:The plumbing system in Building 3100 is clogged due to sediment buildup, causing reduced water pressure.
Occurred:January 2025
Discovered:February 2025
Correction Deadline:June 2025
Coordinating Office:Plumbing Services Office (PSO)
Parts Needed:Pipe cleaning equipment, replacement valves (Type PV-200)
Cause:Lack of proper and timely maintenance</t>
  </si>
  <si>
    <t>Degraded State:The electrical wiring shared between Buildings 1283 and 3137 is frayed, causing intermittent power failures.
Occurred:November 2024
Discovered:December 2024
Correction Deadline:September 2025
Coordinating Office:Electrical Systems Office (ESO)
Parts Needed:High-voltage wiring (Type HV-400), junction boxes
Cause:Unplanned system failure</t>
  </si>
  <si>
    <t>Degraded State:The HVAC system in Building 2597 is operating at reduced capacity due to failing fans and clogged filters.
Occurred:February 2025
Discovered:March 2025
Correction Deadline:July 2025
Coordinating Office:Facilities Maintenance Office (FMO)
Parts Needed:Replacement fans (Model F-300), HEPA filters
Cause:Lack of proper and timely maintenance</t>
  </si>
  <si>
    <t>Degraded State:The cooling tower shared between Buildings 3892 and 3928 has corroded piping and reduced efficiency.
Occurred:December 2024
Discovered:January 2025
Correction Deadline:August 2025
Coordinating Office:Utilities Management Office (UMO)
Parts Needed:Replacement piping (Type CP-300), anti-corrosion coating
Cause:Weather-related event</t>
  </si>
  <si>
    <t>Degraded State:The industrial control system for Building 3883 was compromised during a cyber attack, leading to erratic HVAC operation.
Occurred:April 2025
Discovered:April 2025
Correction Deadline:June 2025
Coordinating Office:Cybersecurity Office (CSO)
Parts Needed:Replacement control modules (Model IC-800), firmware updates
Cause:Cyber attack</t>
  </si>
  <si>
    <t>Degraded State:The plumbing system in Building 1432 is leaking due to corroded joints, causing water damage to the lower floors.
Occurred:February 2025
Discovered:March 2025
Correction Deadline:July 2025
Coordinating Office:Plumbing Services Office (PSO)
Parts Needed:Replacement joints (Type PJ-150), sealant
Cause:Lack of proper and timely maintenance</t>
  </si>
  <si>
    <t>Degraded State:The electrical distribution network spanning Buildings 4063, 2339, and 1223 is experiencing frequent power surges due to failing transformers.
Occurred:January 2025
Discovered:February 2025
Correction Deadline:October 2025
Coordinating Office:Electrical Systems Office (ESO)
Parts Needed:Transformers (Model T-900), surge protectors
Cause:Unplanned system failure</t>
  </si>
  <si>
    <t>Degraded State:The HVAC system in Building 1916 is unable to maintain proper airflow due to clogged ducts and failing blowers.
Occurred:March 2025
Discovered:March 2025
Correction Deadline:August 2025
Coordinating Office:Facilities Maintenance Office (FMO)
Parts Needed:Replacement blowers (Model B-200), duct cleaning equipment
Cause:Lack of proper and timely maintenance</t>
  </si>
  <si>
    <t>Degraded State:The roof of Building 4093 sustained damage during a windstorm, causing leaks in multiple areas.
Occurred:February 2025
Discovered:February 2025
Correction Deadline:May 2025
Coordinating Office:Structural Maintenance Office (SMO)
Parts Needed:Roofing panels (Type RP-600), waterproof sealant
Cause:Weather-related event</t>
  </si>
  <si>
    <t>Degraded State:The industrial control system for Building 3910 was compromised during a cyber attack, causing lighting and HVAC malfunctions.
Occurred:April 2025
Discovered:April 2025
Correction Deadline:June 2025
Coordinating Office:Cybersecurity Office (CSO)
Parts Needed:Control system patches, replacement modules (Model IC-600)
Cause:Cyber attack</t>
  </si>
  <si>
    <t>Degraded State:The plumbing system in Building 2119 is clogged due to sediment buildup, causing reduced water pressure.
Occurred:January 2025
Discovered:February 2025
Correction Deadline:June 2025
Coordinating Office:Plumbing Services Office (PSO)
Parts Needed:Pipe cleaning equipment, replacement valves (Type PV-300)
Cause:Lack of proper and timely maintenance</t>
  </si>
  <si>
    <t>Degraded State:The electrical wiring shared between Buildings 450 and 1375 is frayed, causing intermittent power failures.
Occurred:November 2024
Discovered:December 2024
Correction Deadline:September 2025
Coordinating Office:Electrical Systems Office (ESO)
Parts Needed:High-voltage wiring (Type HV-500), junction boxes
Cause:Unplanned system failure</t>
  </si>
  <si>
    <t>Degraded State:The HVAC system in Building 2740 is operating at reduced capacity due to failing fans and clogged filters.
Occurred:February 2025
Discovered:March 2025
Correction Deadline:July 2025
Coordinating Office:Facilities Maintenance Office (FMO)
Parts Needed:Replacement fans (Model F-400), HEPA filters
Cause:Lack of proper and timely maintenance</t>
  </si>
  <si>
    <t>Degraded State:The cooling tower shared between Buildings 4793 and 2803 has corroded piping and reduced efficiency.
Occurred:December 2024
Discovered:January 2025
Correction Deadline:August 2025
Coordinating Office:Utilities Management Office (UMO)
Parts Needed:Replacement piping (Type CP-400), anti-corrosion coating
Cause:Weather-related event</t>
  </si>
  <si>
    <t>Degraded State:The industrial control system for Building 2788 was compromised during a cyber attack, leading to erratic HVAC operation.
Occurred:April 2025
Discovered:April 2025
Correction Deadline:June 2025
Coordinating Office:Cybersecurity Office (CSO)
Parts Needed:Replacement control modules (Model IC-900), firmware updates
Cause:Cyber attack</t>
  </si>
  <si>
    <t>Degraded State:The plumbing system in Building 184 is leaking due to corroded joints, causing water damage to the lower floors.
Occurred:February 2025
Discovered:March 2025
Correction Deadline:July 2025
Coordinating Office:Plumbing Services Office (PSO)
Parts Needed:Replacement joints (Type PJ-200), sealant
Cause:Lack of proper and timely maintenance</t>
  </si>
  <si>
    <t>Degraded State:The electrical distribution network spanning Buildings 406, 2810, and 2101 is experiencing frequent power surges due to failing transformers.
Occurred:January 2025
Discovered:February 2025
Correction Deadline:October 2025
Coordinating Office:Electrical Systems Office (ESO)
Parts Needed:Transformers (Model T-1000), surge protectors
Cause:Unplanned system failure</t>
  </si>
  <si>
    <t>Degraded State:The HVAC system in Building 3070 is unable to maintain proper airflow due to clogged ducts and failing blowers.
Occurred:March 2025
Discovered:March 2025
Correction Deadline:August 2025
Coordinating Office:Facilities Maintenance Office (FMO)
Parts Needed:Replacement blowers (Model B-300), duct cleaning equipment
Cause:Lack of proper and timely maintenance</t>
  </si>
  <si>
    <t>Degraded State:The roof of Building 5079 sustained damage during a hailstorm, causing leaks in multiple areas.
Occurred:January 2025
Discovered:January 2025
Correction Deadline:April 2025
Coordinating Office:Structural Maintenance Office (SMO)
Parts Needed:Roofing panels (Type RP-700), waterproof sealant
Cause:Catastrophic weather event</t>
  </si>
  <si>
    <t>Degraded State:The industrial control system for Building 745 was compromised during a cyber attack, causing lighting and HVAC malfunctions.
Occurred:April 2025
Discovered:April 2025
Correction Deadline:June 2025
Coordinating Office:Cybersecurity Office (CSO)
Parts Needed:Control system patches, replacement modules (Model IC-700)
Cause:Cyber attack</t>
  </si>
  <si>
    <t>Degraded State:The plumbing system in Building 570 is leaking due to cracked pipes, causing water damage to adjacent rooms.
Occurred:February 2025
Discovered:March 2025
Correction Deadline:July 2025
Coordinating Office:Plumbing Services Office (PSO)
Parts Needed:Replacement pipes (Type PVC-200), sealant
Cause:Lack of proper and timely maintenance</t>
  </si>
  <si>
    <t>Degraded State:The electrical distribution network spanning Buildings 3607, 3679, and 2281 is overloaded due to outdated transformers.
Occurred:December 2024
Discovered:January 2025
Correction Deadline:October 2025
Coordinating Office:Electrical Systems Office (ESO)
Parts Needed:Transformers (Model T-1100), circuit breakers
Cause:Lack of proper and timely maintenance</t>
  </si>
  <si>
    <t>Degraded State:The HVAC system in Building 976 is operating at reduced capacity due to failing compressors and clogged filters.
Occurred:February 2025
Discovered:March 2025
Correction Deadline:August 2025
Coordinating Office:Facilities Maintenance Office (FMO)
Parts Needed:Replacement compressors (Model C-500), HEPA filters
Cause:Unplanned system failure</t>
  </si>
  <si>
    <t>Degraded State:The cooling tower shared between Buildings 4349 and 604 has corroded piping and reduced efficiency.
Occurred:November 2024
Discovered:December 2024
Correction Deadline:August 2025
Coordinating Office:Utilities Management Office (UMO)
Parts Needed:Replacement piping (Type CP-500), anti-corrosion coating
Cause:Weather-related event</t>
  </si>
  <si>
    <t>Degraded State:The industrial control system for Building 3149 was compromised during a cyber attack, leading to erratic HVAC operation.
Occurred:April 2025
Discovered:April 2025
Correction Deadline:June 2025
Coordinating Office:Cybersecurity Office (CSO)
Parts Needed:Replacement control modules (Model IC-1000), firmware updates
Cause:Cyber attack</t>
  </si>
  <si>
    <t>Degraded State:The plumbing system in Building 2458 is clogged due to sediment buildup, causing reduced water pressure.
Occurred:January 2025
Discovered:February 2025
Correction Deadline:June 2025
Coordinating Office:Plumbing Services Office (PSO)
Parts Needed:Pipe cleaning equipment, replacement valves (Type PV-400)
Cause:Lack of proper and timely maintenance</t>
  </si>
  <si>
    <t>Degraded State:The electrical wiring shared between Buildings 3390 and 2481 is frayed, causing intermittent power failures.
Occurred:November 2024
Discovered:December 2024
Correction Deadline:September 2025
Coordinating Office:Electrical Systems Office (ESO)
Parts Needed:High-voltage wiring (Type HV-600), junction boxes
Cause:Unplanned system failure</t>
  </si>
  <si>
    <t>Degraded State:The HVAC system in Building 1965 is unable to maintain proper airflow due to clogged ducts and failing blowers.
Occurred:March 2025
Discovered:March 2025
Correction Deadline:August 2025
Coordinating Office:Facilities Maintenance Office (FMO)
Parts Needed:Replacement blowers (Model B-400), duct cleaning equipment
Cause:Lack of proper and timely maintenance</t>
  </si>
  <si>
    <t>Degraded State:The roof of Building 76 sustained damage during a windstorm, causing leaks in multiple areas.
Occurred:February 2025
Discovered:February 2025
Correction Deadline:May 2025
Coordinating Office:Structural Maintenance Office (SMO)
Parts Needed:Roofing panels (Type RP-800), waterproof sealant
Cause:Weather-related event</t>
  </si>
  <si>
    <t>Degraded State:The industrial control system for Building 1157 was compromised during a cyber attack, causing lighting and HVAC malfunctions.
Occurred:April 2025
Discovered:April 2025
Correction Deadline:June 2025
Coordinating Office:Cybersecurity Office (CSO)
Parts Needed:Control system patches, replacement modules (Model IC-800)
Cause:Cyber attack</t>
  </si>
  <si>
    <t>Degraded State:The plumbing system in Building 3628 is leaking due to corroded joints, causing water damage to the lower floors.
Occurred:February 2025
Discovered:March 2025
Correction Deadline:July 2025
Coordinating Office:Plumbing Services Office (PSO)
Parts Needed:Replacement joints (Type PJ-300), sealant
Cause:Lack of proper and timely maintenance</t>
  </si>
  <si>
    <t>Degraded State:The electrical distribution network spanning Buildings 4253, 1774, and 791 is experiencing frequent power surges due to failing transformers.
Occurred:January 2025
Discovered:February 2025
Correction Deadline:October 2025
Coordinating Office:Electrical Systems Office (ESO)
Parts Needed:Transformers (Model T-1200), surge protectors
Cause:Unplanned system failure</t>
  </si>
  <si>
    <t>Degraded State:The HVAC system in Building 3051 is operating at reduced capacity due to failing fans and clogged filters.
Occurred:February 2025
Discovered:March 2025
Correction Deadline:July 2025
Coordinating Office:Facilities Maintenance Office (FMO)
Parts Needed:Replacement fans (Model F-500), HEPA filters
Cause:Lack of proper and timely maintenance</t>
  </si>
  <si>
    <t>Degraded State:The cooling tower shared between Buildings 1129 and 5236 has corroded piping and reduced efficiency.
Occurred:December 2024
Discovered:January 2025
Correction Deadline:August 2025
Coordinating Office:Utilities Management Office (UMO)
Parts Needed:Replacement piping (Type CP-600), anti-corrosion coating
Cause:Weather-related event</t>
  </si>
  <si>
    <t>Degraded State:The industrial control system for Building 2299 was compromised during a cyber attack, leading to erratic HVAC operation.
Occurred:April 2025
Discovered:April 2025
Correction Deadline:June 2025
Coordinating Office:Cybersecurity Office (CSO)
Parts Needed:Replacement control modules (Model IC-1100), firmware updates
Cause:Cyber attack</t>
  </si>
  <si>
    <t>Degraded State:The plumbing system in Building 1101 is leaking due to cracked pipes, causing water damage to adjacent rooms.
Occurred:February 2025
Discovered:March 2025
Correction Deadline:July 2025
Coordinating Office:Plumbing Services Office (PSO)
Parts Needed:Replacement pipes (Type PVC-300), sealant
Cause:Lack of proper and timely maintenance</t>
  </si>
  <si>
    <t>Degraded State:The electrical distribution network spanning Buildings 1504, 179, and 1897 is overloaded due to outdated transformers.
Occurred:December 2024
Discovered:January 2025
Correction Deadline:October 2025
Coordinating Office:Electrical Systems Office (ESO)
Parts Needed:Transformers (Model T-1300), circuit breakers
Cause:Lack of proper and timely maintenance</t>
  </si>
  <si>
    <t>Degraded State:The HVAC system in Building 1722 is operating at reduced capacity due to failing compressors and clogged filters.
Occurred:February 2025
Discovered:March 2025
Correction Deadline:August 2025
Coordinating Office:Facilities Maintenance Office (FMO)
Parts Needed:Replacement compressors (Model C-600), HEPA filters
Cause:Unplanned system failure</t>
  </si>
  <si>
    <t>Degraded State:The cooling tower shared between Buildings 4234 and 4003 has corroded piping and reduced efficiency.
Occurred:November 2024
Discovered:December 2024
Correction Deadline:August 2025
Coordinating Office:Utilities Management Office (UMO)
Parts Needed:Replacement piping (Type CP-700), anti-corrosion coating
Cause:Weather-related event</t>
  </si>
  <si>
    <t>Degraded State:The industrial control system for Building 4001 was compromised during a cyber attack, leading to erratic HVAC operation.
Occurred:April 2025
Discovered:April 2025
Correction Deadline:June 2025
Coordinating Office:Cybersecurity Office (CSO)
Parts Needed:Replacement control modules (Model IC-1200), firmware updates
Cause:Cyber attack</t>
  </si>
  <si>
    <t>Degraded State:The plumbing system in Building 5190 is clogged due to sediment buildup, causing reduced water pressure.
Occurred:January 2025
Discovered:February 2025
Correction Deadline:June 2025
Coordinating Office:Plumbing Services Office (PSO)
Parts Needed:Pipe cleaning equipment, replacement valves (Type PV-500)
Cause:Lack of proper and timely maintenance</t>
  </si>
  <si>
    <t>Degraded State:The electrical wiring shared between Buildings 3672 and 4090 is frayed, causing intermittent power failures.
Occurred:November 2024
Discovered:December 2024
Correction Deadline:September 2025
Coordinating Office:Electrical Systems Office (ESO)
Parts Needed:High-voltage wiring (Type HV-700), junction boxes
Cause:Unplanned system failure</t>
  </si>
  <si>
    <t>Degraded State:The HVAC system in Building 1568 is unable to maintain proper airflow due to clogged ducts and failing blowers.
Occurred:March 2025
Discovered:March 2025
Correction Deadline:August 2025
Coordinating Office:Facilities Maintenance Office (FMO)
Parts Needed:Replacement blowers (Model B-500), duct cleaning equipment
Cause:Lack of proper and timely maintenance</t>
  </si>
  <si>
    <t>Degraded State:The roof of Building 4657 sustained damage during a windstorm, causing leaks in multiple areas.
Occurred:February 2025
Discovered:February 2025
Correction Deadline:May 2025
Coordinating Office:Structural Maintenance Office (SMO)
Parts Needed:Roofing panels (Type RP-900), waterproof sealant
Cause:Weather-related event</t>
  </si>
  <si>
    <t>Degraded State:The industrial control system for Building 1210 was compromised during a cyber attack, causing lighting and HVAC malfunctions.
Occurred:April 2025
Discovered:April 2025
Correction Deadline:June 2025
Coordinating Office:Cybersecurity Office (CSO)
Parts Needed:Control system patches, replacement modules (Model IC-900)
Cause:Cyber attack</t>
  </si>
  <si>
    <t>Degraded State:The plumbing system in Building 3683 is leaking due to corroded joints, causing water damage to the lower floors.
Occurred:February 2025
Discovered:March 2025
Correction Deadline:July 2025
Coordinating Office:Plumbing Services Office (PSO)
Parts Needed:Replacement joints (Type PJ-400), sealant
Cause:Lack of proper and timely maintenance</t>
  </si>
  <si>
    <t>Degraded State:The electrical distribution network spanning Buildings 3390, 2506, and 2438 is experiencing frequent power surges due to failing transformers.
Occurred:January 2025
Discovered:February 2025
Correction Deadline:October 2025
Coordinating Office:Electrical Systems Office (ESO)
Parts Needed:Transformers (Model T-1400), surge protectors
Cause:Unplanned system failure</t>
  </si>
  <si>
    <t>Degraded State:The HVAC system in Building 4781 is operating at reduced capacity due to failing fans and clogged filters.
Occurred:February 2025
Discovered:March 2025
Correction Deadline:July 2025
Coordinating Office:Facilities Maintenance Office (FMO)
Parts Needed:Replacement fans (Model F-600), HEPA filters
Cause:Lack of proper and timely maintenance</t>
  </si>
  <si>
    <t>Degraded State:The cooling tower shared between Buildings 3669 and 716 has corroded piping and reduced efficiency.
Occurred:December 2024
Discovered:January 2025
Correction Deadline:August 2025
Coordinating Office:Utilities Management Office (UMO)
Parts Needed:Replacement piping (Type CP-800), anti-corrosion coating
Cause:Weather-related event</t>
  </si>
  <si>
    <t>Degraded State:The industrial control system for Building 1499 was compromised during a cyber attack, leading to erratic HVAC operation.
Occurred:April 2025
Discovered:April 2025
Correction Deadline:June 2025
Coordinating Office:Cybersecurity Office (CSO)
Parts Needed:Replacement control modules (Model IC-1300), firmware updates
Cause:Cyber attack</t>
  </si>
  <si>
    <t>Degraded State:The plumbing system in Building 1661 is leaking due to cracked pipes, causing water damage to adjacent rooms.
Occurred:February 2025
Discovered:March 2025
Correction Deadline:July 2025
Coordinating Office:Plumbing Services Office (PSO)
Parts Needed:Replacement pipes (Type PVC-400), sealant
Cause:Lack of proper and timely maintenance</t>
  </si>
  <si>
    <t>Degraded State:The electrical distribution network spanning Buildings 2225, 4373, and 995 is overloaded due to outdated transformers.
Occurred:December 2024
Discovered:January 2025
Correction Deadline:October 2025
Coordinating Office:Electrical Systems Office (ESO)
Parts Needed:Transformers (Model T-1500), circuit breakers
Cause:Lack of proper and timely maintenance</t>
  </si>
  <si>
    <t>Degraded State:The HVAC system in Building 5044 is operating at reduced capacity due to failing compressors and clogged filters.
Occurred:February 2025
Discovered:March 2025
Correction Deadline:August 2025
Coordinating Office:Facilities Maintenance Office (FMO)
Parts Needed:Replacement compressors (Model C-700), HEPA filters
Cause:Unplanned system failure</t>
  </si>
  <si>
    <t>Degraded State:The cooling tower shared between Buildings 668 and 803 has corroded piping and reduced efficiency.
Occurred:November 2024
Discovered:December 2024
Correction Deadline:August 2025
Coordinating Office:Utilities Management Office (UMO)
Parts Needed:Replacement piping (Type CP-900), anti-corrosion coating
Cause:Weather-related event</t>
  </si>
  <si>
    <t>Degraded State:The industrial control system for Building 1820 was compromised during a cyber attack, leading to erratic HVAC operation.
Occurred:April 2025
Discovered:April 2025
Correction Deadline:June 2025
Coordinating Office:Cybersecurity Office (CSO)
Parts Needed:Replacement control modules (Model IC-1400), firmware updates
Cause:Cyber attack</t>
  </si>
  <si>
    <t>Degraded State:The plumbing system in Building 636 is clogged due to sediment buildup, causing reduced water pressure.
Occurred:January 2025
Discovered:February 2025
Correction Deadline:June 2025
Coordinating Office:Plumbing Services Office (PSO)
Parts Needed:Pipe cleaning equipment, replacement valves (Type PV-600)
Cause:Lack of proper and timely maintenance</t>
  </si>
  <si>
    <t>Degraded State:The electrical wiring shared between Buildings 4779 and 1220 is frayed, causing intermittent power failures.
Occurred:November 2024
Discovered:December 2024
Correction Deadline:September 2025
Coordinating Office:Electrical Systems Office (ESO)
Parts Needed:High-voltage wiring (Type HV-800), junction boxes
Cause:Unplanned system failure</t>
  </si>
  <si>
    <t>Degraded State:The HVAC system in Building 3607 is unable to maintain proper airflow due to clogged ducts and failing blowers.
Occurred:March 2025
Discovered:March 2025
Correction Deadline:August 2025
Coordinating Office:Facilities Maintenance Office (FMO)
Parts Needed:Replacement blowers (Model B-600), duct cleaning equipment
Cause:Lack of proper and timely maintenance</t>
  </si>
  <si>
    <t>Degraded State:The roof of Building 3426 sustained damage during a windstorm, causing leaks in multiple areas.
Occurred:February 2025
Discovered:February 2025
Correction Deadline:May 2025
Coordinating Office:Structural Maintenance Office (SMO)
Parts Needed:Roofing panels (Type RP-1000), waterproof sealant
Cause:Weather-related event</t>
  </si>
  <si>
    <t>Degraded State:The industrial control system for Building 4330 was compromised during a cyber attack, causing lighting and HVAC malfunctions.
Occurred:April 2025
Discovered:April 2025
Correction Deadline:June 2025
Coordinating Office:Cybersecurity Office (CSO)
Parts Needed:Control system patches, replacement modules (Model IC-1500)
Cause:Cyber attack</t>
  </si>
  <si>
    <t>Degraded State:The plumbing system in Building 1669 is leaking due to corroded joints, causing water damage to the lower floors.
Occurred:February 2025
Discovered:March 2025
Correction Deadline:July 2025
Coordinating Office:Plumbing Services Office (PSO)
Parts Needed:Replacement joints (Type PJ-500), sealant
Cause:Lack of proper and timely maintenance</t>
  </si>
  <si>
    <t>Degraded State:The electrical distribution network spanning Buildings 1075, 3411, and 4629 is experiencing frequent power surges due to failing transformers.
Occurred:January 2025
Discovered:February 2025
Correction Deadline:October 2025
Coordinating Office:Electrical Systems Office (ESO)
Parts Needed:Transformers (Model T-1600), surge protectors
Cause:Unplanned system failure</t>
  </si>
  <si>
    <t>Degraded State:The HVAC system in Building 3965 is operating at reduced capacity due to failing fans and clogged filters.
Occurred:February 2025
Discovered:March 2025
Correction Deadline:July 2025
Coordinating Office:Facilities Maintenance Office (FMO)
Parts Needed:Replacement fans (Model F-700), HEPA filters
Cause:Lack of proper and timely maintenance</t>
  </si>
  <si>
    <t>Degraded State:The cooling tower shared between Buildings 3393 and 3351 has corroded piping and reduced efficiency.
Occurred:December 2024
Discovered:January 2025
Correction Deadline:August 2025
Coordinating Office:Utilities Management Office (UMO)
Parts Needed:Replacement piping (Type CP-1000), anti-corrosion coating
Cause:Weather-related event</t>
  </si>
  <si>
    <t>Degraded State:The industrial control system for Building 4330 was compromised during a cyber attack, leading to erratic HVAC operation.
Occurred:April 2025
Discovered:April 2025
Correction Deadline:June 2025
Coordinating Office:Cybersecurity Office (CSO)
Parts Needed:Replacement control modules (Model IC-1600), firmware updates
Cause:Cyber attack</t>
  </si>
  <si>
    <t>Degraded State:The plumbing system in Building 1171 is leaking due to cracked pipes, causing water damage to adjacent rooms.
Occurred:February 2025
Discovered:March 2025
Correction Deadline:July 2025
Coordinating Office:Plumbing Services Office (PSO)
Parts Needed:Replacement pipes (Type PVC-500), sealant
Cause:Lack of proper and timely maintenance</t>
  </si>
  <si>
    <t>Degraded State:The electrical distribution network spanning Buildings 1753, 1638, and 4435 is overloaded due to outdated transformers.
Occurred:December 2024
Discovered:January 2025
Correction Deadline:October 2025
Coordinating Office:Electrical Systems Office (ESO)
Parts Needed:Transformers (Model T-1700), circuit breakers
Cause:Lack of proper and timely maintenance</t>
  </si>
  <si>
    <t>Degraded State:The HVAC system in Building 726 is operating at reduced capacity due to failing compressors and clogged filters.
Occurred:February 2025
Discovered:March 2025
Correction Deadline:August 2025
Coordinating Office:Facilities Maintenance Office (FMO)
Parts Needed:Replacement compressors (Model C-800), HEPA filters
Cause:Unplanned system failure</t>
  </si>
  <si>
    <t>Degraded State:The cooling tower shared between Buildings 1470 and 2604 has corroded piping and reduced efficiency.
Occurred:November 2024
Discovered:December 2024
Correction Deadline:August 2025
Coordinating Office:Utilities Management Office (UMO)
Parts Needed:Replacement piping (Type CP-1100), anti-corrosion coating
Cause:Weather-related event</t>
  </si>
  <si>
    <t>Degraded State:The industrial control system for Building 1947 was compromised during a cyber attack, leading to erratic HVAC operation.
Occurred:April 2025
Discovered:April 2025
Correction Deadline:June 2025
Coordinating Office:Cybersecurity Office (CSO)
Parts Needed:Replacement control modules (Model IC-1700), firmware updates
Cause:Cyber attack</t>
  </si>
  <si>
    <t>Degraded State:The plumbing system in Building 1122 is clogged due to sediment buildup, causing reduced water pressure.
Occurred:January 2025
Discovered:February 2025
Correction Deadline:June 2025
Coordinating Office:Plumbing Services Office (PSO)
Parts Needed:Pipe cleaning equipment, replacement valves (Type PV-700)
Cause:Lack of proper and timely maintenance</t>
  </si>
  <si>
    <t>Degraded State:The electrical wiring shared between Buildings 4586 and 4117 is frayed, causing intermittent power failures.
Occurred:November 2024
Discovered:December 2024
Correction Deadline:September 2025
Coordinating Office:Electrical Systems Office (ESO)
Parts Needed:High-voltage wiring (Type HV-900), junction boxes
Cause:Unplanned system failure</t>
  </si>
  <si>
    <t>Degraded State:The HVAC system in Building 1300 is unable to maintain proper airflow due to clogged ducts and failing blowers.
Occurred:March 2025
Discovered:March 2025
Correction Deadline:August 2025
Coordinating Office:Facilities Maintenance Office (FMO)
Parts Needed:Replacement blowers (Model B-700), duct cleaning equipment
Cause:Lack of proper and timely maintenance</t>
  </si>
  <si>
    <t>Degraded State:The roof of Building 626 sustained damage during a windstorm, causing leaks in multiple areas.
Occurred:February 2025
Discovered:February 2025
Correction Deadline:May 2025
Coordinating Office:Structural Maintenance Office (SMO)
Parts Needed:Roofing panels (Type RP-1100), waterproof sealant
Cause:Weather-related event</t>
  </si>
  <si>
    <t>Degraded State:The industrial control system for Building 2657 was compromised during a cyber attack, causing lighting and HVAC malfunctions.
Occurred:April 2025
Discovered:April 2025
Correction Deadline:June 2025
Coordinating Office:Cybersecurity Office (CSO)
Parts Needed:Control system patches, replacement modules (Model IC-1800)
Cause:Cyber attack</t>
  </si>
  <si>
    <t>Degraded State:The plumbing system in Building 4784 is leaking due to corroded joints, causing water damage to the lower floors.
Occurred:February 2025
Discovered:March 2025
Correction Deadline:July 2025
Coordinating Office:Plumbing Services Office (PSO)
Parts Needed:Replacement joints (Type PJ-600), sealant
Cause:Lack of proper and timely maintenance</t>
  </si>
  <si>
    <t>Degraded State:The electrical distribution network spanning Buildings 3559, 4709, and 4822 is experiencing frequent power surges due to failing transformers.
Occurred:January 2025
Discovered:February 2025
Correction Deadline:October 2025
Coordinating Office:Electrical Systems Office (ESO)
Parts Needed:Transformers (Model T-1800), surge protectors
Cause:Unplanned system failure</t>
  </si>
  <si>
    <t>Degraded State:The HVAC system in Building 2568 is operating at reduced capacity due to failing fans and clogged filters.
Occurred:February 2025
Discovered:March 2025
Correction Deadline:July 2025
Coordinating Office:Facilities Maintenance Office (FMO)
Parts Needed:Replacement fans (Model F-800), HEPA filters
Cause:Lack of proper and timely maintenance</t>
  </si>
  <si>
    <t>Degraded State:The cooling tower shared between Buildings 1414 and 928 has corroded piping and reduced efficiency.
Occurred:December 2024
Discovered:January 2025
Correction Deadline:August 2025
Coordinating Office:Utilities Management Office (UMO)
Parts Needed:Replacement piping (Type CP-1200), anti-corrosion coating
Cause:Weather-related event</t>
  </si>
  <si>
    <t>Degraded State:The industrial control system for Building 1955 was compromised during a cyber attack, leading to erratic HVAC operation.
Occurred:April 2025
Discovered:April 2025
Correction Deadline:June 2025
Coordinating Office:Cybersecurity Office (CSO)
Parts Needed:Replacement control modules (Model IC-1900), firmware updates
Cause:Cyber attack</t>
  </si>
  <si>
    <t>Degraded State:The plumbing system in Building 1617 is clogged due to sediment buildup, causing reduced water pressure.
Occurred:January 2025
Discovered:February 2025
Correction Deadline:June 2025
Coordinating Office:Plumbing Services Office (PSO)
Parts Needed:Pipe cleaning equipment, replacement valves (Type PV-800)
Cause:Lack of proper and timely maintenance</t>
  </si>
  <si>
    <t>Degraded State:The electrical wiring shared between Buildings 2316 and 4996 is frayed, causing intermittent power failures.
Occurred:November 2024
Discovered:December 2024
Correction Deadline:September 2025
Coordinating Office:Electrical Systems Office (ESO)
Parts Needed:High-voltage wiring (Type HV-1000), junction boxes
Cause:Unplanned system failure</t>
  </si>
  <si>
    <t>Degraded State:The HVAC system in Building 3809 is unable to maintain proper airflow due to clogged ducts and failing blowers.
Occurred:March 2025
Discovered:March 2025
Correction Deadline:August 2025
Coordinating Office:Facilities Maintenance Office (FMO)
Parts Needed:Replacement blowers (Model B-800), duct cleaning equipment
Cause:Lack of proper and timely maintenance</t>
  </si>
  <si>
    <t>Degraded State:The roof of Building 2825 sustained damage during a windstorm, causing leaks in multiple areas.
Occurred:February 2025
Discovered:February 2025
Correction Deadline:May 2025
Coordinating Office:Structural Maintenance Office (SMO)
Parts Needed:Roofing panels (Type RP-1200), waterproof sealant
Cause:Weather-related event</t>
  </si>
  <si>
    <t>Degraded State:The industrial control system for Building 4428 was compromised during a cyber attack, causing lighting and HVAC malfunctions.
Occurred:April 2025
Discovered:April 2025
Correction Deadline:June 2025
Coordinating Office:Cybersecurity Office (CSO)
Parts Needed:Control system patches, replacement modules (Model IC-2000)
Cause:Cyber attack</t>
  </si>
  <si>
    <t>Degraded State:The plumbing system in Building 314 is leaking due to corroded joints, causing water damage to the lower floors.
Occurred:February 2025
Discovered:March 2025
Correction Deadline:July 2025
Coordinating Office:Plumbing Services Office (PSO)
Parts Needed:Replacement joints (Type PJ-700), sealant
Cause:Lack of proper and timely maintenance</t>
  </si>
  <si>
    <t>Degraded State:The electrical distribution network spanning Buildings 3328, 3078, and 3018 is experiencing frequent power surges due to failing transformers.
Occurred:January 2025
Discovered:February 2025
Correction Deadline:October 2025
Coordinating Office:Electrical Systems Office (ESO)
Parts Needed:Transformers (Model T-1900), surge protectors
Cause:Unplanned system failure</t>
  </si>
  <si>
    <t>Degraded State:The HVAC system in Building 3219 is operating at reduced capacity due to failing fans and clogged filters.
Occurred:February 2025
Discovered:March 2025
Correction Deadline:July 2025
Coordinating Office:Facilities Maintenance Office (FMO)
Parts Needed:Replacement fans (Model F-900), HEPA filters
Cause:Lack of proper and timely maintenance</t>
  </si>
  <si>
    <t>Degraded State:The cooling tower shared between Buildings 1966 and 5249 has corroded piping and reduced efficiency.
Occurred:December 2024
Discovered:January 2025
Correction Deadline:August 2025
Coordinating Office:Utilities Management Office (UMO)
Parts Needed:Replacement piping (Type CP-1300), anti-corrosion coating
Cause:Weather-related event</t>
  </si>
  <si>
    <t>Degraded State:The industrial control system for Building 5172 was compromised by an insider threat, leading to erratic HVAC and lighting operations.
Occurred:March 2025
Discovered:March 2025
Correction Deadline:May 2025
Coordinating Office:Cybersecurity Office (CSO)
Parts Needed:Replacement control modules (Model IC-2100), firmware updates, and enhanced access controls
Cause:Insider threat</t>
  </si>
  <si>
    <t>Date/Time:March 15, 2015, 10:30 AM
Building/System:Building 1783 / HVAC System
Observation:Initial inspection revealed clogged filters and reduced airflow. Filters were reported as needing replacement during a prior inspection in January 2014 but remained unaddressed.
By March 2015, the system began leaking refrigerant, and compressors showed signs of overheating.
Cause:Lack of resiliency and redundancy in the HVAC system. Funding constraints cited as the reason for delayed maintenance.</t>
  </si>
  <si>
    <t>Date/Time:June 22, 2016, 2:45 PM
Building/System:Building 2318 / Electrical Wiring
Observation:Frayed wiring was observed during an inspection. Improper installation of junction boxes was noted, with loose connections causing intermittent power outages.
By October 2016, power surges damaged sensitive equipment in the building.
Cause:Faulty installation and lack of redundancy in the electrical system.</t>
  </si>
  <si>
    <t>Date/Time:September 10, 2017, 1:15 PM
Building/System:Building 1039 / Cooling Tower
Observation:Corrosion on piping was first noted during an inspection in 2015 but was not addressed due to underfunding.
By September 2017, the cooling tower efficiency dropped by 40%, and water leaks were observed.
Cause:Lack of redundancy and delayed maintenance.</t>
  </si>
  <si>
    <t>Date/Time:February 5, 2018, 9:00 AM
Building/System:Building 4151 / Backup Generator
Observation:Fuel pump damage was noted during an inspection in 2016 but was not repaired.
By February 2018, the generator failed during a power outage, causing operational disruptions.
Cause:Lack of resiliency and delayed maintenance due to overtasking.</t>
  </si>
  <si>
    <t>Date/Time:July 18, 2019, 3:30 PM
Building/System:Building 3550 / Electrical Switchgear
Observation:Improper configuration of grounding systems was noted during an inspection in 2017.
By July 2019, safety concerns arose due to frequent tripping of circuits during peak usage.
Cause:Faulty installation and lack of redundancy.</t>
  </si>
  <si>
    <t>Date/Time:November 12, 2020, 11:45 AM
Building/System:Building 1225 / HVAC System
Observation:Filters were reported as clogged during inspections in 2018 and 2019 but were not replaced.
By November 2020, airflow was reduced by 50%, and equipment began overheating.
Cause:Delayed maintenance due to underfunding.</t>
  </si>
  <si>
    <t>Date/Time:April 3, 2021, 4:00 PM
Building/System:Building 2702 / Power Distribution Transformers
Observation:Transformers showed signs of insulation breakdown during inspections in 2019 and 2020.
By April 2021, overheating caused frequent power outages.
Cause:Lack of redundancy and delayed maintenance.</t>
  </si>
  <si>
    <t>Date/Time:August 25, 2022, 2:00 PM
Building/System:Building 200 / Cooling System
Observation:Undersized cooling units were noted during an inspection in 2020.
By August 2022, operational demands exceeded cooling capacity, causing equipment failures.
Cause:Improper configuration and lack of resiliency.</t>
  </si>
  <si>
    <t>Date/Time:January 14, 2023, 10:15 AM
Building/System:Building 49 / Roof
Observation:Minor leaks were observed during inspections in 2021 and 2022 but were not repaired.
By January 2023, leaks expanded, causing water damage to interior walls.
Cause:Delayed maintenance due to underfunding.</t>
  </si>
  <si>
    <t>Date/Time:May 30, 2024, 1:00 PM
Building/System:Building 699 / Cooling Infrastructure
Observation:Inefficient piping was noted during inspections in 2022 and 2023.
By May 2024, cooling capacity dropped by 30%, and operational disruptions occurred.
Cause:Lack of redundancy and delayed maintenance.</t>
  </si>
  <si>
    <t>Date/Time:October 8, 2025, 3:45 PM
Building/System:Building 4068 / HVAC System
Observation:Improper installation of rooftop units was noted during an inspection in 2023.
By October 2025, refrigerant leaks caused erratic temperature control.
Cause:Faulty installation and lack of resiliency.</t>
  </si>
  <si>
    <t>Date/Time:February 17, 2016, 9:30 AM
Building/System:Building 5102 / Power Generation Facility
Observation:Corroded fuel storage tanks were noted during inspections in 2014 and 2015 but were not replaced.
By February 2016, fuel leaks caused environmental concerns.
Cause:Delayed maintenance due to underfunding.</t>
  </si>
  <si>
    <t>Date/Time:June 5, 2017, 2:15 PM
Building/System:Building 2464 / Electrical Substation
Observation:Outdated circuit breakers were noted during inspections in 2015 and 2016.
By June 2017, frequent power surges damaged equipment.
Cause:Lack of redundancy and delayed maintenance.</t>
  </si>
  <si>
    <t>Date/Time:September 22, 2018, 11:00 AM
Building/System:Building 4119 / HVAC System
Observation:Compressor failures were noted during inspections in 2016 and 2017 but were not repaired.
By September 2018, cooling capacity dropped by 40%.
Cause:Delayed maintenance due to overtasking.</t>
  </si>
  <si>
    <t>Date/Time:March 10, 2019, 4:30 PM
Building/System:Building 3100 / Power Distribution Network
Observation:Underground cables showed signs of wear during inspections in 2017 and 2018.
By March 2019, cable failures caused extended power outages.
Cause:Lack of resiliency and delayed maintenance.</t>
  </si>
  <si>
    <t>Date/Time:July 14, 2020, 12:00 PM
Building/System:Building 1283 / HVAC System
Observation:Improper installation of dehumidifiers was noted during an inspection in 2018.
By July 2020, humidity levels caused equipment malfunctions.
Cause:Faulty installation and lack of redundancy.</t>
  </si>
  <si>
    <t>Date/Time:November 3, 2021, 3:00 PM
Building/System:Building 3137 / Electrical Panels
Observation:Overloaded circuits were noted during inspections in 2019 and 2020 but were not addressed.
By November 2021, power outages disrupted operations.
Cause:Delayed maintenance due to underfunding.</t>
  </si>
  <si>
    <t>Date/Time:April 28, 2022, 10:45 AM
Building/System:Building 2597 / Cooling Infrastructure
Observation:Clogged heat exchangers were noted during inspections in 2020 and 2021.
By April 2022, cooling efficiency dropped by 50%.
Cause:Lack of resiliency and delayed maintenance.</t>
  </si>
  <si>
    <t>Date/Time:August 19, 2023, 2:30 PM
Building/System:Building 3892 / Backup Generators
Observation:Outdated transfer switches were noted during inspections in 2021 and 2022.
By August 2023, generator failures caused operational disruptions.
Cause:Lack of redundancy and delayed maintenance.</t>
  </si>
  <si>
    <t>Date/Time:January 5, 2024, 9:15 AM
Building/System:Building 3928 / HVAC System
Observation:Refrigerant leaks were noted during inspections in 2022 and 2023 but were not repaired.
By January 2024, cooling capacity dropped by 30%.
Cause:Delayed maintenance due to overtasking.</t>
  </si>
  <si>
    <t>Date/Time:March 12, 2025, 11:30 AM
Building/System:Building 3883 / Electrical Distribution System
Observation:Transformers showed signs of overheating during inspections in 2023 and 2024 but were not replaced.
By March 2025, frequent power outages disrupted operations.
Cause:Lack of resiliency and delayed maintenance due to underfunding.</t>
  </si>
  <si>
    <t>Date/Time:June 8, 2016, 2:00 PM
Building/System:Building 1432 / Cooling Tower
Observation:Corrosion on piping was noted during inspections in 2014 and 2015 but remained unaddressed.
By June 2016, water leaks caused efficiency to drop by 50%.
Cause:Delayed maintenance due to overtasking.</t>
  </si>
  <si>
    <t>Date/Time:October 25, 2017, 3:45 PM
Building/System:Building 4063 / Power Generation Facility
Observation:Fuel pumps showed signs of wear during inspections in 2015 and 2016 but were not replaced.
By October 2017, fuel delivery failures caused generator outages.
Cause:Lack of redundancy and delayed maintenance.</t>
  </si>
  <si>
    <t>Date/Time:February 14, 2018, 10:15 AM
Building/System:Building 2339 / HVAC System
Observation:Improper installation of air filtration systems was noted during an inspection in 2016.
By February 2018, clogged filters caused reduced airflow and overheating.
Cause:Faulty installation and lack of resiliency.</t>
  </si>
  <si>
    <t>Date/Time:July 30, 2019, 1:30 PM
Building/System:Building 1223 / Electrical Wiring
Observation:Frayed wiring was noted during inspections in 2017 and 2018 but was not repaired.
By July 2019, power surges damaged sensitive equipment.
Cause:Delayed maintenance due to underfunding.</t>
  </si>
  <si>
    <t>Date/Time:November 18, 2020, 4:00 PM
Building/System:Building 1916 / Cooling Infrastructure
Observation:Inefficient piping was noted during inspections in 2018 and 2019 but remained unaddressed.
By November 2020, cooling capacity dropped by 40%.
Cause:Lack of resiliency and delayed maintenance.</t>
  </si>
  <si>
    <t>Date/Time:April 5, 2021, 9:45 AM
Building/System:Building 4093 / Backup Generators
Observation:Outdated transfer switches were noted during inspections in 2019 and 2020 but were not replaced.
By April 2021, generator failures caused operational disruptions.
Cause:Lack of redundancy and delayed maintenance.</t>
  </si>
  <si>
    <t>Date/Time:August 22, 2022, 2:15 PM
Building/System:Building 3910 / HVAC System
Observation:Refrigerant leaks were noted during inspections in 2020 and 2021 but were not repaired.
By August 2022, cooling capacity dropped by 30%.
Cause:Delayed maintenance due to overtasking.</t>
  </si>
  <si>
    <t>Date/Time:January 10, 2023, 11:00 AM
Building/System:Building 2119 / Electrical Distribution System
Observation:Transformers showed signs of overheating during inspections in 2021 and 2022 but were not replaced.
By January 2023, frequent power outages disrupted operations.
Cause:Lack of resiliency and delayed maintenance due to underfunding.</t>
  </si>
  <si>
    <t>Date/Time:May 15, 2024, 3:30 PM
Building/System:Building 450 / Cooling Tower
Observation:Corrosion on piping was noted during inspections in 2022 and 2023 but remained unaddressed.
By May 2024, water leaks caused efficiency to drop by 50%.
Cause:Delayed maintenance due to overtasking.</t>
  </si>
  <si>
    <t>Date/Time:October 3, 2025, 10:45 AM
Building/System:Building 1375 / Power Generation Facility
Observation:Fuel pumps showed signs of wear during inspections in 2023 and 2024 but were not replaced.
By October 2025, fuel delivery failures caused generator outages.
Cause:Lack of redundancy and delayed maintenance.</t>
  </si>
  <si>
    <t>Date/Time:February 20, 2017, 9:15 AM
Building/System:Building 2740 / HVAC System
Observation:Improper installation of air filtration systems was noted during an inspection in 2015.
By February 2017, clogged filters caused reduced airflow and overheating.
Cause:Faulty installation and lack of resiliency.</t>
  </si>
  <si>
    <t>Date/Time:June 12, 2018, 2:30 PM
Building/System:Building 4793 / Electrical Wiring
Observation:Frayed wiring was noted during inspections in 2016 and 2017 but was not repaired.
By June 2018, power surges damaged sensitive equipment.
Cause:Delayed maintenance due to underfunding.</t>
  </si>
  <si>
    <t>Date/Time:September 25, 2019, 4:15 PM
Building/System:Building 2803 / Cooling Infrastructure
Observation:Inefficient piping was noted during inspections in 2017 and 2018 but remained unaddressed.
By September 2019, cooling capacity dropped by 40%.
Cause:Lack of resiliency and delayed maintenance.</t>
  </si>
  <si>
    <t>Date/Time:February 8, 2020, 10:30 AM
Building/System:Building 2788 / Backup Generators
Observation:Outdated transfer switches were noted during inspections in 2018 and 2019 but were not replaced.
By February 2020, generator failures caused operational disruptions.
Cause:Lack of redundancy and delayed maintenance.</t>
  </si>
  <si>
    <t>Date/Time:July 19, 2021, 1:00 PM
Building/System:Building 184 / HVAC System
Observation:Refrigerant leaks were noted during inspections in 2019 and 2020 but were not repaired.
By July 2021, cooling capacity dropped by 30%.
Cause:Delayed maintenance due to overtasking.</t>
  </si>
  <si>
    <t>Date/Time:November 14, 2022, 3:45 PM
Building/System:Building 406 / Electrical Distribution System
Observation:Transformers showed signs of overheating during inspections in 2020 and 2021 but were not replaced.
By November 2022, frequent power outages disrupted operations.
Cause:Lack of resiliency and delayed maintenance due to underfunding.</t>
  </si>
  <si>
    <t>Date/Time:April 6, 2023, 9:30 AM
Building/System:Building 2810 / Cooling Tower
Observation:Corrosion on piping was noted during inspections in 2021 and 2022 but remained unaddressed.
By April 2023, water leaks caused efficiency to drop by 50%.
Cause:Delayed maintenance due to overtasking.</t>
  </si>
  <si>
    <t>Date/Time:August 28, 2024, 2:00 PM
Building/System:Building 2101 / Power Generation Facility
Observation:Fuel pumps showed signs of wear during inspections in 2022 and 2023 but were not replaced.
By August 2024, fuel delivery failures caused generator outages.
Cause:Lack of redundancy and delayed maintenance.</t>
  </si>
  <si>
    <t>Date/Time:January 9, 2025, 11:15 AM
Building/System:Building 3070 / HVAC System
Observation:Improper installation of air filtration systems was noted during an inspection in 2023.
By January 2025, clogged filters caused reduced airflow and overheating.
Cause:Faulty installation and lack of resiliency.</t>
  </si>
  <si>
    <t>Date/Time:March 15, 2025, 10:00 AM
Building/System:Building 5079 / Electrical Wiring
Observation:Frayed wiring was noted during inspections in 2023 and 2024 but was not repaired.
By March 2025, power surges damaged sensitive equipment and caused intermittent outages.
Cause:Delayed maintenance due to underfunding.</t>
  </si>
  <si>
    <t>Date/Time:June 22, 2016, 2:30 PM
Building/System:Building 745 / Cooling Infrastructure
Observation:Inefficient piping was noted during inspections in 2014 and 2015 but remained unaddressed.
By June 2016, cooling capacity dropped by 40%, and operational disruptions occurred.
Cause:Lack of resiliency and delayed maintenance.</t>
  </si>
  <si>
    <t>Date/Time:September 10, 2017, 1:45 PM
Building/System:Building 570 / Backup Generators
Observation:Outdated transfer switches were noted during inspections in 2015 and 2016 but were not replaced.
By September 2017, generator failures caused operational disruptions during a power outage.
Cause:Lack of redundancy and delayed maintenance.</t>
  </si>
  <si>
    <t>Date/Time:February 5, 2018, 9:30 AM
Building/System:Building 3607 / HVAC System
Observation:Refrigerant leaks were noted during inspections in 2016 and 2017 but were not repaired.
By February 2018, cooling capacity dropped by 30%, and equipment began overheating.
Cause:Delayed maintenance due to overtasking.</t>
  </si>
  <si>
    <t>Date/Time:July 18, 2019, 3:15 PM
Building/System:Building 3679 / Electrical Distribution System
Observation:Transformers showed signs of overheating during inspections in 2017 and 2018 but were not replaced.
By July 2019, frequent power outages disrupted operations.
Cause:Lack of resiliency and delayed maintenance due to underfunding.</t>
  </si>
  <si>
    <t>Date/Time:November 12, 2020, 11:30 AM
Building/System:Building 2281 / Cooling Tower
Observation:Corrosion on piping was noted during inspections in 2018 and 2019 but remained unaddressed.
By November 2020, water leaks caused efficiency to drop by 50%.
Cause:Delayed maintenance due to overtasking.</t>
  </si>
  <si>
    <t>Date/Time:April 3, 2021, 4:15 PM
Building/System:Building 976 / Power Generation Facility
Observation:Fuel pumps showed signs of wear during inspections in 2019 and 2020 but were not replaced.
By April 2021, fuel delivery failures caused generator outages.
Cause:Lack of redundancy and delayed maintenance.</t>
  </si>
  <si>
    <t>Date/Time:August 25, 2022, 2:45 PM
Building/System:Building 4349 / HVAC System
Observation:Improper installation of air filtration systems was noted during an inspection in 2020.
By August 2022, clogged filters caused reduced airflow and overheating.
Cause:Faulty installation and lack of resiliency.</t>
  </si>
  <si>
    <t>Date/Time:January 14, 2023, 10:45 AM
Building/System:Building 604 / Electrical Wiring
Observation:Frayed wiring was noted during inspections in 2021 and 2022 but was not repaired.
By January 2023, power surges damaged sensitive equipment.
Cause:Delayed maintenance due to underfunding.</t>
  </si>
  <si>
    <t>Date/Time:May 30, 2024, 1:15 PM
Building/System:Building 3149 / Cooling Infrastructure
Observation:Inefficient piping was noted during inspections in 2022 and 2023 but remained unaddressed.
By May 2024, cooling capacity dropped by 40%, and operational disruptions occurred.
Cause:Lack of resiliency and delayed maintenance.</t>
  </si>
  <si>
    <t>Name</t>
  </si>
  <si>
    <t>Availability</t>
  </si>
  <si>
    <t>Long lead time, if ordered</t>
  </si>
  <si>
    <t>Ordered Fuel / Parts:</t>
  </si>
  <si>
    <t>Model X-450</t>
  </si>
  <si>
    <t>Compressors</t>
  </si>
  <si>
    <t>Model FP-300</t>
  </si>
  <si>
    <t>Model C-500</t>
  </si>
  <si>
    <t>Model C-600</t>
  </si>
  <si>
    <t>30% of ordered parts are delayed by unforseen circumstances:</t>
  </si>
  <si>
    <t>Model C-700</t>
  </si>
  <si>
    <t>excluding transformers and control modules,</t>
  </si>
  <si>
    <t>Transformers = 24 months</t>
  </si>
  <si>
    <t>20% time impacted unexpectedly by lack of volume</t>
  </si>
  <si>
    <t>Model C-800</t>
  </si>
  <si>
    <t>60% are on hand</t>
  </si>
  <si>
    <t>Control modules = 6 months</t>
  </si>
  <si>
    <t>20% time impacted unexpectedly by limited critical resources</t>
  </si>
  <si>
    <t>HEPA filters</t>
  </si>
  <si>
    <t>40% not on hand; must order</t>
  </si>
  <si>
    <t>all else = 2 months</t>
  </si>
  <si>
    <t>20% time impacted by global competition</t>
  </si>
  <si>
    <t>Type HV-300</t>
  </si>
  <si>
    <t>Wiring</t>
  </si>
  <si>
    <t xml:space="preserve">10% export restricted by political adversaries </t>
  </si>
  <si>
    <t>Type HV-400</t>
  </si>
  <si>
    <t>5% accidental destruction during transport; must reorder</t>
  </si>
  <si>
    <t>Type HV-500</t>
  </si>
  <si>
    <t>5% theft / sabotage; must reorder</t>
  </si>
  <si>
    <t>Type HV-600</t>
  </si>
  <si>
    <t>5% delivered defective; must reorder</t>
  </si>
  <si>
    <t>Type HV-700</t>
  </si>
  <si>
    <t>5% incorrect part was ordered; must reorder</t>
  </si>
  <si>
    <t>Type HV-800</t>
  </si>
  <si>
    <t>5% delayed due to weather restrictions</t>
  </si>
  <si>
    <t>Type HV-900</t>
  </si>
  <si>
    <t>5% delayed due to production capacity limitations</t>
  </si>
  <si>
    <t>Type HV-1000</t>
  </si>
  <si>
    <t>Junction Boxes</t>
  </si>
  <si>
    <t>Type CP-200</t>
  </si>
  <si>
    <t>Piping</t>
  </si>
  <si>
    <t>Type CP-300</t>
  </si>
  <si>
    <t>Type CP-400</t>
  </si>
  <si>
    <t>Type CP-500</t>
  </si>
  <si>
    <t>Type CP-600</t>
  </si>
  <si>
    <t>Type CP-700</t>
  </si>
  <si>
    <t>Type CP-800</t>
  </si>
  <si>
    <t>Type CP-900</t>
  </si>
  <si>
    <t>Type CP-1000</t>
  </si>
  <si>
    <t>Type CP-1100</t>
  </si>
  <si>
    <t>Type CP-1200</t>
  </si>
  <si>
    <t>Type CP-1300</t>
  </si>
  <si>
    <t>Model IC-500</t>
  </si>
  <si>
    <t>Control modules</t>
  </si>
  <si>
    <t>Model IC-600</t>
  </si>
  <si>
    <t>Model IC-700</t>
  </si>
  <si>
    <t>Model IC-800</t>
  </si>
  <si>
    <t>Model IC-900</t>
  </si>
  <si>
    <t>Model IC-1000</t>
  </si>
  <si>
    <t>Model IC-1100</t>
  </si>
  <si>
    <t>Model IC-1200</t>
  </si>
  <si>
    <t>Model IC-1300</t>
  </si>
  <si>
    <t>Model IC-1400</t>
  </si>
  <si>
    <t>Model IC-1500</t>
  </si>
  <si>
    <t>Model IC-1600</t>
  </si>
  <si>
    <t>Model IC-1700</t>
  </si>
  <si>
    <t>Model IC-1800</t>
  </si>
  <si>
    <t>Model IC-1900</t>
  </si>
  <si>
    <t>Model IC-2000</t>
  </si>
  <si>
    <t>Model IC-2100</t>
  </si>
  <si>
    <t>Fuel Pump</t>
  </si>
  <si>
    <t>Anti-corrosion coating</t>
  </si>
  <si>
    <t>Inline connectors</t>
  </si>
  <si>
    <t>Type RP-500</t>
  </si>
  <si>
    <t>Roofing panels</t>
  </si>
  <si>
    <t>Type RP-600</t>
  </si>
  <si>
    <t>Type RP-700</t>
  </si>
  <si>
    <t>Type RP-800</t>
  </si>
  <si>
    <t>Type RP-900</t>
  </si>
  <si>
    <t>Type RP-1000</t>
  </si>
  <si>
    <t>Type RP-1100</t>
  </si>
  <si>
    <t>Type RP-1200</t>
  </si>
  <si>
    <t>Model T-800</t>
  </si>
  <si>
    <t>Transformers</t>
  </si>
  <si>
    <t>Model T-900</t>
  </si>
  <si>
    <t>Model T-1000</t>
  </si>
  <si>
    <t>Model T-1100</t>
  </si>
  <si>
    <t>Model T-1200</t>
  </si>
  <si>
    <t>Model T-1300</t>
  </si>
  <si>
    <t>Model T-1400</t>
  </si>
  <si>
    <t>Model T-1500</t>
  </si>
  <si>
    <t>Model T-1600</t>
  </si>
  <si>
    <t>Model T-1700</t>
  </si>
  <si>
    <t>Model T-1800</t>
  </si>
  <si>
    <t>Model T-1900</t>
  </si>
  <si>
    <t>Type PJ-150</t>
  </si>
  <si>
    <t>Joints</t>
  </si>
  <si>
    <t>Type PJ-200</t>
  </si>
  <si>
    <t>Type PJ-300</t>
  </si>
  <si>
    <t>Type PJ-400</t>
  </si>
  <si>
    <t>Type PJ-500</t>
  </si>
  <si>
    <t>Type PJ-600</t>
  </si>
  <si>
    <t>Type PJ-700</t>
  </si>
  <si>
    <t>Type PV-200</t>
  </si>
  <si>
    <t>Valves</t>
  </si>
  <si>
    <t>Type PV-300</t>
  </si>
  <si>
    <t>Type PV-400</t>
  </si>
  <si>
    <t>Type PV-500</t>
  </si>
  <si>
    <t>Type PV-600</t>
  </si>
  <si>
    <t>Type PV-700</t>
  </si>
  <si>
    <t>Type PV-800</t>
  </si>
  <si>
    <t>Model B-200</t>
  </si>
  <si>
    <t>Blowers</t>
  </si>
  <si>
    <t>Model B-300</t>
  </si>
  <si>
    <t>Model B-400</t>
  </si>
  <si>
    <t>Model B-500</t>
  </si>
  <si>
    <t>Model B-600</t>
  </si>
  <si>
    <t>Model B-700</t>
  </si>
  <si>
    <t>Model B-800</t>
  </si>
  <si>
    <t>Model F-300</t>
  </si>
  <si>
    <t>fans</t>
  </si>
  <si>
    <t>Model F-400</t>
  </si>
  <si>
    <t>Model F-500</t>
  </si>
  <si>
    <t>Model F-600</t>
  </si>
  <si>
    <t>Model F-700</t>
  </si>
  <si>
    <t>Model F-800</t>
  </si>
  <si>
    <t>Model F-900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</si>
</sst>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font>
      <sz val="11"/>
      <color theme="1"/>
      <name val="Calibri"/>
      <family val="2"/>
      <scheme val="minor"/>
    </font>
    <font>
      <b/>
      <sz val="11"/>
      <color theme="1"/>
      <name val="Calibri"/>
      <family val="2"/>
      <scheme val="minor"/>
    </font>
    <font>
      <b/>
      <sz val="12"/>
      <color theme="1"/>
      <name val="Calibri"/>
      <family val="2"/>
      <scheme val="minor"/>
    </font>
    <font>
      <sz val="11"/>
      <color theme="1"/>
      <name val="Calibri"/>
      <family val="2"/>
      <scheme val="minor"/>
    </font>
  </fonts>
  <fills count="12">
    <fill>
      <patternFill patternType="none"/>
    </fill>
    <fill>
      <patternFill patternType="gray125"/>
    </fill>
    <fill>
      <patternFill patternType="solid">
        <fgColor theme="3" tint="0.59999389629810485"/>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3" tint="0.39997558519241921"/>
        <bgColor indexed="64"/>
      </patternFill>
    </fill>
    <fill>
      <patternFill patternType="solid">
        <fgColor rgb="FFFFFF00"/>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3" fillId="0" borderId="0" applyFont="0" applyFill="0" applyBorder="0" applyAlignment="0" applyProtection="0"/>
  </cellStyleXfs>
  <cellXfs count="24">
    <xf numFmtId="0" fontId="0" fillId="0" borderId="0" xfId="0"/>
    <xf numFmtId="0" fontId="2" fillId="0" borderId="0" xfId="0" applyFont="1"/>
    <xf numFmtId="0" fontId="0" fillId="2" borderId="0" xfId="0" applyFill="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1" fillId="0" borderId="0" xfId="0" applyFont="1" applyAlignment="1">
      <alignment vertical="top"/>
    </xf>
    <xf numFmtId="0" fontId="0" fillId="8" borderId="0" xfId="0" applyFill="1" applyAlignment="1">
      <alignment wrapText="1"/>
    </xf>
    <xf numFmtId="0" fontId="0" fillId="8" borderId="0" xfId="0" applyFill="1"/>
    <xf numFmtId="0" fontId="2" fillId="8" borderId="0" xfId="0" applyFont="1" applyFill="1"/>
    <xf numFmtId="44" fontId="0" fillId="0" borderId="0" xfId="1" applyFont="1"/>
    <xf numFmtId="0" fontId="0" fillId="0" borderId="0" xfId="0" applyAlignment="1">
      <alignment wrapText="1"/>
    </xf>
    <xf numFmtId="0" fontId="0" fillId="9" borderId="0" xfId="0" applyFill="1"/>
    <xf numFmtId="0" fontId="0" fillId="10" borderId="0" xfId="0" applyFill="1"/>
    <xf numFmtId="0" fontId="0" fillId="11" borderId="0" xfId="0" applyFill="1"/>
    <xf numFmtId="0" fontId="0" fillId="11" borderId="0" xfId="0" applyFill="1" applyAlignment="1">
      <alignment wrapText="1"/>
    </xf>
    <xf numFmtId="0" fontId="0" fillId="0" borderId="1" xfId="0" applyBorder="1"/>
    <xf numFmtId="0" fontId="1" fillId="0" borderId="0" xfId="0" applyFont="1" applyAlignment="1">
      <alignment horizontal="center" vertical="top"/>
    </xf>
    <xf numFmtId="0" fontId="0" fillId="11" borderId="1" xfId="0" applyFill="1" applyBorder="1"/>
    <xf numFmtId="0" fontId="0" fillId="10" borderId="1" xfId="0" applyFill="1" applyBorder="1"/>
    <xf numFmtId="0" fontId="1" fillId="10" borderId="0" xfId="0" applyFont="1" applyFill="1" applyAlignment="1">
      <alignment horizontal="center" vertical="top"/>
    </xf>
    <xf numFmtId="0" fontId="1" fillId="11" borderId="0" xfId="0" applyFont="1" applyFill="1" applyAlignment="1">
      <alignment horizontal="center" vertical="top"/>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27"/>
  <sheetViews>
    <sheetView tabSelected="1" topLeftCell="B1" workbookViewId="0">
      <pane ySplit="1" topLeftCell="E2" activePane="bottomLeft" state="frozen"/>
      <selection pane="bottomLeft" activeCell="C8" sqref="C8"/>
    </sheetView>
  </sheetViews>
  <sheetFormatPr defaultColWidth="8.85546875" defaultRowHeight="14.45"/>
  <cols>
    <col min="1" max="2" width="19" customWidth="1"/>
    <col min="3" max="3" width="29.140625" customWidth="1"/>
    <col min="4" max="4" width="30.7109375" bestFit="1" customWidth="1"/>
    <col min="5" max="5" width="28.7109375" customWidth="1"/>
    <col min="6" max="6" width="24.42578125" customWidth="1"/>
    <col min="7" max="7" width="28.7109375" customWidth="1"/>
    <col min="8" max="8" width="45.85546875" customWidth="1"/>
    <col min="9" max="9" width="29.42578125" customWidth="1"/>
    <col min="10" max="10" width="23.28515625" customWidth="1"/>
    <col min="11" max="11" width="32.85546875" customWidth="1"/>
    <col min="12" max="12" width="28.7109375" customWidth="1"/>
    <col min="13" max="13" width="36.28515625" bestFit="1" customWidth="1"/>
    <col min="14" max="14" width="24.28515625" customWidth="1"/>
    <col min="19" max="19" width="21.42578125" bestFit="1" customWidth="1"/>
    <col min="21" max="21" width="61" customWidth="1"/>
    <col min="22" max="22" width="12.28515625" customWidth="1"/>
  </cols>
  <sheetData>
    <row r="1" spans="1:22" ht="15.6">
      <c r="A1" s="1" t="s">
        <v>0</v>
      </c>
      <c r="B1" s="1" t="s">
        <v>1</v>
      </c>
      <c r="C1" s="11" t="s">
        <v>2</v>
      </c>
      <c r="D1" s="1" t="s">
        <v>3</v>
      </c>
      <c r="E1" s="1" t="s">
        <v>4</v>
      </c>
      <c r="F1" s="1" t="s">
        <v>5</v>
      </c>
      <c r="G1" s="1" t="s">
        <v>6</v>
      </c>
      <c r="H1" s="1" t="s">
        <v>7</v>
      </c>
      <c r="I1" s="1" t="s">
        <v>8</v>
      </c>
      <c r="J1" s="1" t="s">
        <v>9</v>
      </c>
      <c r="K1" s="1" t="s">
        <v>10</v>
      </c>
      <c r="L1" s="11" t="s">
        <v>11</v>
      </c>
      <c r="M1" s="11" t="s">
        <v>12</v>
      </c>
      <c r="N1" s="1" t="s">
        <v>13</v>
      </c>
    </row>
    <row r="2" spans="1:22">
      <c r="A2" t="s">
        <v>14</v>
      </c>
      <c r="B2" t="s">
        <v>15</v>
      </c>
      <c r="D2">
        <v>1783</v>
      </c>
      <c r="I2" s="2" t="s">
        <v>16</v>
      </c>
      <c r="J2" t="s">
        <v>17</v>
      </c>
      <c r="N2">
        <v>1</v>
      </c>
    </row>
    <row r="3" spans="1:22">
      <c r="A3" t="s">
        <v>14</v>
      </c>
      <c r="B3" t="s">
        <v>15</v>
      </c>
      <c r="D3">
        <v>2318</v>
      </c>
      <c r="I3" s="2" t="s">
        <v>18</v>
      </c>
      <c r="J3" t="s">
        <v>19</v>
      </c>
      <c r="N3">
        <v>2</v>
      </c>
    </row>
    <row r="4" spans="1:22">
      <c r="A4" t="s">
        <v>14</v>
      </c>
      <c r="B4" t="s">
        <v>15</v>
      </c>
      <c r="D4">
        <v>1039</v>
      </c>
      <c r="I4" s="2" t="s">
        <v>20</v>
      </c>
      <c r="J4" t="s">
        <v>17</v>
      </c>
      <c r="N4">
        <v>3</v>
      </c>
    </row>
    <row r="5" spans="1:22">
      <c r="A5" t="s">
        <v>14</v>
      </c>
      <c r="B5" t="s">
        <v>15</v>
      </c>
      <c r="D5">
        <v>4151</v>
      </c>
      <c r="I5" s="2" t="s">
        <v>21</v>
      </c>
      <c r="J5" t="s">
        <v>17</v>
      </c>
      <c r="N5">
        <v>4</v>
      </c>
    </row>
    <row r="6" spans="1:22">
      <c r="A6" t="s">
        <v>14</v>
      </c>
      <c r="B6" t="s">
        <v>15</v>
      </c>
      <c r="D6">
        <v>3550</v>
      </c>
      <c r="I6" s="2" t="s">
        <v>22</v>
      </c>
      <c r="J6" t="s">
        <v>23</v>
      </c>
      <c r="N6">
        <v>5</v>
      </c>
      <c r="V6">
        <f ca="1">RANDBETWEEN(1, 5342)</f>
        <v>3250</v>
      </c>
    </row>
    <row r="7" spans="1:22">
      <c r="A7" t="s">
        <v>14</v>
      </c>
      <c r="B7" t="s">
        <v>15</v>
      </c>
      <c r="D7">
        <v>1225</v>
      </c>
      <c r="I7" s="2" t="s">
        <v>24</v>
      </c>
      <c r="J7" s="4" t="s">
        <v>25</v>
      </c>
      <c r="N7">
        <v>6</v>
      </c>
      <c r="V7">
        <f t="shared" ref="V7:V70" ca="1" si="0">RANDBETWEEN(1, 5342)</f>
        <v>657</v>
      </c>
    </row>
    <row r="8" spans="1:22" ht="90.75" customHeight="1">
      <c r="A8" t="s">
        <v>14</v>
      </c>
      <c r="B8" t="s">
        <v>15</v>
      </c>
      <c r="C8" s="9" t="s">
        <v>26</v>
      </c>
      <c r="D8">
        <v>2702</v>
      </c>
      <c r="I8" s="2" t="s">
        <v>27</v>
      </c>
      <c r="J8" t="s">
        <v>23</v>
      </c>
      <c r="M8" s="9" t="s">
        <v>28</v>
      </c>
      <c r="N8">
        <v>7</v>
      </c>
      <c r="V8">
        <f t="shared" ca="1" si="0"/>
        <v>4144</v>
      </c>
    </row>
    <row r="9" spans="1:22">
      <c r="A9" t="s">
        <v>14</v>
      </c>
      <c r="B9" t="s">
        <v>15</v>
      </c>
      <c r="C9" s="10" t="s">
        <v>29</v>
      </c>
      <c r="D9">
        <v>200</v>
      </c>
      <c r="I9" s="2" t="s">
        <v>30</v>
      </c>
      <c r="J9" t="s">
        <v>23</v>
      </c>
      <c r="M9" s="10"/>
      <c r="N9">
        <v>8</v>
      </c>
      <c r="V9">
        <f t="shared" ca="1" si="0"/>
        <v>4829</v>
      </c>
    </row>
    <row r="10" spans="1:22">
      <c r="A10" t="s">
        <v>14</v>
      </c>
      <c r="B10" t="s">
        <v>15</v>
      </c>
      <c r="C10" s="10" t="s">
        <v>31</v>
      </c>
      <c r="D10">
        <v>49</v>
      </c>
      <c r="I10" s="2" t="s">
        <v>32</v>
      </c>
      <c r="J10" s="4" t="s">
        <v>33</v>
      </c>
      <c r="L10" s="9" t="s">
        <v>34</v>
      </c>
      <c r="M10" s="9" t="s">
        <v>35</v>
      </c>
      <c r="N10">
        <v>9</v>
      </c>
      <c r="V10">
        <f t="shared" ca="1" si="0"/>
        <v>356</v>
      </c>
    </row>
    <row r="11" spans="1:22" ht="29.1">
      <c r="A11" t="s">
        <v>14</v>
      </c>
      <c r="B11" t="s">
        <v>15</v>
      </c>
      <c r="C11" s="10" t="s">
        <v>36</v>
      </c>
      <c r="D11">
        <v>699</v>
      </c>
      <c r="E11" s="9" t="s">
        <v>37</v>
      </c>
      <c r="F11" s="9" t="s">
        <v>38</v>
      </c>
      <c r="G11" s="9" t="s">
        <v>39</v>
      </c>
      <c r="H11" s="9" t="s">
        <v>40</v>
      </c>
      <c r="I11" s="2" t="s">
        <v>41</v>
      </c>
      <c r="J11" t="s">
        <v>42</v>
      </c>
      <c r="K11" s="9" t="s">
        <v>43</v>
      </c>
      <c r="L11" s="9" t="s">
        <v>44</v>
      </c>
      <c r="M11" t="s">
        <v>45</v>
      </c>
      <c r="N11">
        <v>10</v>
      </c>
      <c r="V11">
        <f t="shared" ca="1" si="0"/>
        <v>1279</v>
      </c>
    </row>
    <row r="12" spans="1:22">
      <c r="A12" t="s">
        <v>14</v>
      </c>
      <c r="B12" t="s">
        <v>15</v>
      </c>
      <c r="C12" s="10" t="s">
        <v>46</v>
      </c>
      <c r="D12">
        <v>4068</v>
      </c>
      <c r="E12" s="10" t="s">
        <v>47</v>
      </c>
      <c r="F12" s="10"/>
      <c r="G12" s="10"/>
      <c r="H12" s="10"/>
      <c r="I12" s="2" t="s">
        <v>48</v>
      </c>
      <c r="J12" t="s">
        <v>17</v>
      </c>
      <c r="K12" s="10" t="s">
        <v>49</v>
      </c>
      <c r="L12" s="9" t="s">
        <v>50</v>
      </c>
      <c r="N12">
        <v>11</v>
      </c>
      <c r="V12">
        <f t="shared" ca="1" si="0"/>
        <v>2359</v>
      </c>
    </row>
    <row r="13" spans="1:22" ht="29.1">
      <c r="A13" t="s">
        <v>14</v>
      </c>
      <c r="B13" t="s">
        <v>15</v>
      </c>
      <c r="C13" s="10" t="s">
        <v>51</v>
      </c>
      <c r="D13">
        <v>5102</v>
      </c>
      <c r="E13" s="10" t="s">
        <v>52</v>
      </c>
      <c r="F13" s="10"/>
      <c r="G13" s="10"/>
      <c r="H13" s="10"/>
      <c r="I13" s="2" t="s">
        <v>53</v>
      </c>
      <c r="J13" t="s">
        <v>54</v>
      </c>
      <c r="K13" s="10" t="s">
        <v>55</v>
      </c>
      <c r="L13" s="9" t="s">
        <v>56</v>
      </c>
      <c r="N13">
        <v>12</v>
      </c>
      <c r="V13">
        <f t="shared" ca="1" si="0"/>
        <v>44</v>
      </c>
    </row>
    <row r="14" spans="1:22">
      <c r="A14" t="s">
        <v>14</v>
      </c>
      <c r="B14" t="s">
        <v>15</v>
      </c>
      <c r="C14" s="10" t="s">
        <v>57</v>
      </c>
      <c r="D14">
        <v>2464</v>
      </c>
      <c r="E14" s="10" t="s">
        <v>58</v>
      </c>
      <c r="F14" s="10"/>
      <c r="G14" s="10"/>
      <c r="H14" s="10"/>
      <c r="I14" s="2" t="s">
        <v>59</v>
      </c>
      <c r="J14" t="s">
        <v>17</v>
      </c>
      <c r="K14" s="10" t="s">
        <v>60</v>
      </c>
      <c r="N14">
        <v>13</v>
      </c>
      <c r="V14">
        <f t="shared" ca="1" si="0"/>
        <v>4500</v>
      </c>
    </row>
    <row r="15" spans="1:22">
      <c r="A15" t="s">
        <v>14</v>
      </c>
      <c r="B15" t="s">
        <v>15</v>
      </c>
      <c r="C15" s="10" t="s">
        <v>61</v>
      </c>
      <c r="D15">
        <v>4119</v>
      </c>
      <c r="E15" s="10" t="s">
        <v>62</v>
      </c>
      <c r="F15" s="10"/>
      <c r="G15" s="10"/>
      <c r="H15" s="10"/>
      <c r="I15" s="2" t="s">
        <v>63</v>
      </c>
      <c r="J15" t="s">
        <v>17</v>
      </c>
      <c r="K15" s="10" t="s">
        <v>64</v>
      </c>
      <c r="N15">
        <v>14</v>
      </c>
      <c r="V15">
        <f t="shared" ca="1" si="0"/>
        <v>1506</v>
      </c>
    </row>
    <row r="16" spans="1:22">
      <c r="A16" t="s">
        <v>14</v>
      </c>
      <c r="B16" t="s">
        <v>15</v>
      </c>
      <c r="C16" s="10" t="s">
        <v>65</v>
      </c>
      <c r="D16">
        <v>3100</v>
      </c>
      <c r="I16" s="2" t="s">
        <v>66</v>
      </c>
      <c r="J16" t="s">
        <v>23</v>
      </c>
      <c r="K16" s="10" t="s">
        <v>67</v>
      </c>
      <c r="N16">
        <v>15</v>
      </c>
      <c r="V16">
        <f t="shared" ca="1" si="0"/>
        <v>4260</v>
      </c>
    </row>
    <row r="17" spans="1:22">
      <c r="A17" t="s">
        <v>14</v>
      </c>
      <c r="B17" t="s">
        <v>15</v>
      </c>
      <c r="C17" s="10" t="s">
        <v>68</v>
      </c>
      <c r="D17">
        <v>1283</v>
      </c>
      <c r="I17" s="2" t="s">
        <v>69</v>
      </c>
      <c r="J17" t="s">
        <v>42</v>
      </c>
      <c r="K17" s="10" t="s">
        <v>70</v>
      </c>
      <c r="N17">
        <v>16</v>
      </c>
      <c r="V17">
        <f t="shared" ca="1" si="0"/>
        <v>2359</v>
      </c>
    </row>
    <row r="18" spans="1:22">
      <c r="A18" t="s">
        <v>14</v>
      </c>
      <c r="B18" t="s">
        <v>15</v>
      </c>
      <c r="D18">
        <v>3137</v>
      </c>
      <c r="I18" s="2" t="s">
        <v>71</v>
      </c>
      <c r="J18" t="s">
        <v>17</v>
      </c>
      <c r="K18" s="10" t="s">
        <v>72</v>
      </c>
      <c r="N18">
        <v>17</v>
      </c>
      <c r="V18">
        <f t="shared" ca="1" si="0"/>
        <v>4695</v>
      </c>
    </row>
    <row r="19" spans="1:22">
      <c r="A19" t="s">
        <v>14</v>
      </c>
      <c r="B19" t="s">
        <v>15</v>
      </c>
      <c r="D19">
        <v>2597</v>
      </c>
      <c r="I19" s="2" t="s">
        <v>73</v>
      </c>
      <c r="J19" s="4" t="s">
        <v>74</v>
      </c>
      <c r="K19" s="10" t="s">
        <v>75</v>
      </c>
      <c r="N19">
        <v>18</v>
      </c>
      <c r="V19">
        <f t="shared" ca="1" si="0"/>
        <v>4134</v>
      </c>
    </row>
    <row r="20" spans="1:22">
      <c r="A20" t="s">
        <v>14</v>
      </c>
      <c r="B20" t="s">
        <v>15</v>
      </c>
      <c r="D20">
        <v>3892</v>
      </c>
      <c r="I20" s="2" t="s">
        <v>76</v>
      </c>
      <c r="J20" t="s">
        <v>19</v>
      </c>
      <c r="K20" s="10" t="s">
        <v>77</v>
      </c>
      <c r="N20">
        <v>19</v>
      </c>
      <c r="V20">
        <f t="shared" ca="1" si="0"/>
        <v>2346</v>
      </c>
    </row>
    <row r="21" spans="1:22">
      <c r="A21" t="s">
        <v>14</v>
      </c>
      <c r="B21" t="s">
        <v>15</v>
      </c>
      <c r="D21">
        <v>3928</v>
      </c>
      <c r="E21" s="3" t="s">
        <v>78</v>
      </c>
      <c r="F21" s="3"/>
      <c r="G21" t="s">
        <v>79</v>
      </c>
      <c r="H21" t="s">
        <v>80</v>
      </c>
      <c r="I21" s="2" t="s">
        <v>81</v>
      </c>
      <c r="J21" t="s">
        <v>17</v>
      </c>
      <c r="K21" s="10" t="s">
        <v>82</v>
      </c>
      <c r="N21">
        <v>20</v>
      </c>
      <c r="V21">
        <f t="shared" ca="1" si="0"/>
        <v>3236</v>
      </c>
    </row>
    <row r="22" spans="1:22">
      <c r="A22" t="s">
        <v>14</v>
      </c>
      <c r="B22" t="s">
        <v>15</v>
      </c>
      <c r="C22" s="3" t="s">
        <v>83</v>
      </c>
      <c r="D22">
        <v>3883</v>
      </c>
      <c r="I22" s="2" t="s">
        <v>84</v>
      </c>
      <c r="J22" t="s">
        <v>85</v>
      </c>
      <c r="N22">
        <v>21</v>
      </c>
      <c r="V22">
        <f t="shared" ca="1" si="0"/>
        <v>2914</v>
      </c>
    </row>
    <row r="23" spans="1:22">
      <c r="A23" t="s">
        <v>14</v>
      </c>
      <c r="B23" t="s">
        <v>15</v>
      </c>
      <c r="C23" s="3" t="s">
        <v>86</v>
      </c>
      <c r="D23">
        <v>1432</v>
      </c>
      <c r="I23" s="2" t="s">
        <v>87</v>
      </c>
      <c r="J23" t="s">
        <v>23</v>
      </c>
      <c r="N23">
        <v>22</v>
      </c>
      <c r="V23">
        <f t="shared" ca="1" si="0"/>
        <v>5081</v>
      </c>
    </row>
    <row r="24" spans="1:22">
      <c r="A24" t="s">
        <v>88</v>
      </c>
      <c r="B24" t="s">
        <v>89</v>
      </c>
      <c r="D24">
        <v>4063</v>
      </c>
      <c r="I24" s="3" t="s">
        <v>16</v>
      </c>
      <c r="N24">
        <v>23</v>
      </c>
      <c r="V24">
        <f t="shared" ca="1" si="0"/>
        <v>442</v>
      </c>
    </row>
    <row r="25" spans="1:22">
      <c r="A25" t="s">
        <v>88</v>
      </c>
      <c r="B25" t="s">
        <v>89</v>
      </c>
      <c r="D25">
        <v>2339</v>
      </c>
      <c r="I25" s="3" t="s">
        <v>18</v>
      </c>
      <c r="K25" t="s">
        <v>90</v>
      </c>
      <c r="N25">
        <v>24</v>
      </c>
      <c r="V25">
        <f t="shared" ca="1" si="0"/>
        <v>3912</v>
      </c>
    </row>
    <row r="26" spans="1:22">
      <c r="A26" t="s">
        <v>88</v>
      </c>
      <c r="B26" t="s">
        <v>89</v>
      </c>
      <c r="D26">
        <v>1223</v>
      </c>
      <c r="I26" s="3" t="s">
        <v>20</v>
      </c>
      <c r="J26" s="10" t="s">
        <v>91</v>
      </c>
      <c r="N26">
        <v>25</v>
      </c>
      <c r="V26">
        <f t="shared" ca="1" si="0"/>
        <v>490</v>
      </c>
    </row>
    <row r="27" spans="1:22">
      <c r="A27" t="s">
        <v>88</v>
      </c>
      <c r="B27" t="s">
        <v>89</v>
      </c>
      <c r="D27">
        <v>1916</v>
      </c>
      <c r="I27" s="3" t="s">
        <v>21</v>
      </c>
      <c r="J27" s="10" t="s">
        <v>92</v>
      </c>
      <c r="N27">
        <v>26</v>
      </c>
      <c r="V27">
        <f t="shared" ca="1" si="0"/>
        <v>2001</v>
      </c>
    </row>
    <row r="28" spans="1:22">
      <c r="A28" t="s">
        <v>88</v>
      </c>
      <c r="B28" t="s">
        <v>89</v>
      </c>
      <c r="D28">
        <v>4093</v>
      </c>
      <c r="I28" s="3" t="s">
        <v>93</v>
      </c>
      <c r="N28">
        <v>27</v>
      </c>
      <c r="V28">
        <f t="shared" ca="1" si="0"/>
        <v>4362</v>
      </c>
    </row>
    <row r="29" spans="1:22">
      <c r="A29" t="s">
        <v>88</v>
      </c>
      <c r="B29" t="s">
        <v>89</v>
      </c>
      <c r="D29">
        <v>3910</v>
      </c>
      <c r="I29" s="3" t="s">
        <v>94</v>
      </c>
      <c r="N29">
        <v>28</v>
      </c>
      <c r="V29">
        <f t="shared" ca="1" si="0"/>
        <v>2791</v>
      </c>
    </row>
    <row r="30" spans="1:22">
      <c r="A30" t="s">
        <v>88</v>
      </c>
      <c r="B30" t="s">
        <v>89</v>
      </c>
      <c r="D30">
        <v>2318</v>
      </c>
      <c r="I30" s="3" t="s">
        <v>27</v>
      </c>
      <c r="N30">
        <v>29</v>
      </c>
      <c r="V30">
        <f t="shared" ca="1" si="0"/>
        <v>869</v>
      </c>
    </row>
    <row r="31" spans="1:22">
      <c r="A31" t="s">
        <v>88</v>
      </c>
      <c r="B31" t="s">
        <v>89</v>
      </c>
      <c r="D31">
        <v>2119</v>
      </c>
      <c r="I31" s="3" t="s">
        <v>30</v>
      </c>
      <c r="N31">
        <v>30</v>
      </c>
      <c r="V31">
        <f t="shared" ca="1" si="0"/>
        <v>3457</v>
      </c>
    </row>
    <row r="32" spans="1:22">
      <c r="A32" t="s">
        <v>88</v>
      </c>
      <c r="B32" t="s">
        <v>89</v>
      </c>
      <c r="D32">
        <v>450</v>
      </c>
      <c r="I32" s="3" t="s">
        <v>32</v>
      </c>
      <c r="N32">
        <v>31</v>
      </c>
      <c r="V32">
        <f t="shared" ca="1" si="0"/>
        <v>4208</v>
      </c>
    </row>
    <row r="33" spans="1:22">
      <c r="A33" t="s">
        <v>88</v>
      </c>
      <c r="B33" t="s">
        <v>89</v>
      </c>
      <c r="D33">
        <v>1375</v>
      </c>
      <c r="I33" s="3" t="s">
        <v>41</v>
      </c>
      <c r="N33">
        <v>32</v>
      </c>
      <c r="V33">
        <f t="shared" ca="1" si="0"/>
        <v>4993</v>
      </c>
    </row>
    <row r="34" spans="1:22">
      <c r="A34" t="s">
        <v>88</v>
      </c>
      <c r="B34" t="s">
        <v>89</v>
      </c>
      <c r="D34">
        <v>2740</v>
      </c>
      <c r="I34" s="3" t="s">
        <v>48</v>
      </c>
      <c r="N34">
        <v>33</v>
      </c>
      <c r="V34">
        <f t="shared" ca="1" si="0"/>
        <v>1032</v>
      </c>
    </row>
    <row r="35" spans="1:22">
      <c r="A35" t="s">
        <v>88</v>
      </c>
      <c r="B35" t="s">
        <v>89</v>
      </c>
      <c r="D35">
        <v>4793</v>
      </c>
      <c r="I35" s="3" t="s">
        <v>53</v>
      </c>
      <c r="N35">
        <v>34</v>
      </c>
      <c r="V35">
        <f t="shared" ca="1" si="0"/>
        <v>448</v>
      </c>
    </row>
    <row r="36" spans="1:22">
      <c r="A36" t="s">
        <v>88</v>
      </c>
      <c r="B36" t="s">
        <v>89</v>
      </c>
      <c r="D36">
        <v>2803</v>
      </c>
      <c r="I36" s="3" t="s">
        <v>59</v>
      </c>
      <c r="N36">
        <v>35</v>
      </c>
      <c r="V36">
        <f t="shared" ca="1" si="0"/>
        <v>1359</v>
      </c>
    </row>
    <row r="37" spans="1:22">
      <c r="A37" t="s">
        <v>88</v>
      </c>
      <c r="B37" t="s">
        <v>89</v>
      </c>
      <c r="D37">
        <v>2788</v>
      </c>
      <c r="I37" s="3" t="s">
        <v>63</v>
      </c>
      <c r="N37">
        <v>36</v>
      </c>
      <c r="V37">
        <f t="shared" ca="1" si="0"/>
        <v>3315</v>
      </c>
    </row>
    <row r="38" spans="1:22">
      <c r="A38" t="s">
        <v>88</v>
      </c>
      <c r="B38" t="s">
        <v>89</v>
      </c>
      <c r="D38">
        <v>184</v>
      </c>
      <c r="I38" s="3" t="s">
        <v>66</v>
      </c>
      <c r="N38">
        <v>37</v>
      </c>
      <c r="V38">
        <f t="shared" ca="1" si="0"/>
        <v>4963</v>
      </c>
    </row>
    <row r="39" spans="1:22">
      <c r="A39" t="s">
        <v>88</v>
      </c>
      <c r="B39" t="s">
        <v>89</v>
      </c>
      <c r="D39">
        <v>406</v>
      </c>
      <c r="I39" s="3" t="s">
        <v>71</v>
      </c>
      <c r="N39">
        <v>38</v>
      </c>
      <c r="V39">
        <f t="shared" ca="1" si="0"/>
        <v>4210</v>
      </c>
    </row>
    <row r="40" spans="1:22">
      <c r="A40" t="s">
        <v>88</v>
      </c>
      <c r="B40" t="s">
        <v>89</v>
      </c>
      <c r="D40">
        <v>2810</v>
      </c>
      <c r="I40" s="3" t="s">
        <v>95</v>
      </c>
      <c r="N40">
        <v>39</v>
      </c>
      <c r="V40">
        <f t="shared" ca="1" si="0"/>
        <v>810</v>
      </c>
    </row>
    <row r="41" spans="1:22">
      <c r="A41" t="s">
        <v>88</v>
      </c>
      <c r="B41" t="s">
        <v>89</v>
      </c>
      <c r="D41">
        <v>2101</v>
      </c>
      <c r="I41" s="3" t="s">
        <v>73</v>
      </c>
      <c r="N41">
        <v>40</v>
      </c>
      <c r="V41">
        <f t="shared" ca="1" si="0"/>
        <v>3457</v>
      </c>
    </row>
    <row r="42" spans="1:22">
      <c r="A42" t="s">
        <v>88</v>
      </c>
      <c r="B42" t="s">
        <v>89</v>
      </c>
      <c r="D42">
        <v>3070</v>
      </c>
      <c r="I42" s="3" t="s">
        <v>76</v>
      </c>
      <c r="N42">
        <v>41</v>
      </c>
      <c r="V42">
        <f t="shared" ca="1" si="0"/>
        <v>1051</v>
      </c>
    </row>
    <row r="43" spans="1:22">
      <c r="A43" t="s">
        <v>88</v>
      </c>
      <c r="B43" t="s">
        <v>89</v>
      </c>
      <c r="D43">
        <v>5079</v>
      </c>
      <c r="I43" s="3" t="s">
        <v>96</v>
      </c>
      <c r="N43">
        <v>42</v>
      </c>
      <c r="V43">
        <f t="shared" ca="1" si="0"/>
        <v>1412</v>
      </c>
    </row>
    <row r="44" spans="1:22">
      <c r="A44" t="s">
        <v>88</v>
      </c>
      <c r="B44" t="s">
        <v>89</v>
      </c>
      <c r="D44">
        <v>745</v>
      </c>
      <c r="I44" s="3" t="s">
        <v>97</v>
      </c>
      <c r="N44">
        <v>43</v>
      </c>
      <c r="V44">
        <f t="shared" ca="1" si="0"/>
        <v>4797</v>
      </c>
    </row>
    <row r="45" spans="1:22">
      <c r="A45" t="s">
        <v>88</v>
      </c>
      <c r="B45" t="s">
        <v>89</v>
      </c>
      <c r="D45">
        <v>570</v>
      </c>
      <c r="I45" s="3" t="s">
        <v>84</v>
      </c>
      <c r="N45">
        <v>44</v>
      </c>
      <c r="V45">
        <f t="shared" ca="1" si="0"/>
        <v>3635</v>
      </c>
    </row>
    <row r="46" spans="1:22">
      <c r="A46" t="s">
        <v>98</v>
      </c>
      <c r="B46" t="s">
        <v>99</v>
      </c>
      <c r="D46">
        <v>3607</v>
      </c>
      <c r="I46" s="4" t="s">
        <v>16</v>
      </c>
      <c r="N46">
        <v>45</v>
      </c>
      <c r="V46">
        <f t="shared" ca="1" si="0"/>
        <v>1221</v>
      </c>
    </row>
    <row r="47" spans="1:22">
      <c r="A47" t="s">
        <v>98</v>
      </c>
      <c r="B47" t="s">
        <v>99</v>
      </c>
      <c r="D47">
        <v>3679</v>
      </c>
      <c r="I47" s="4" t="s">
        <v>18</v>
      </c>
      <c r="N47">
        <v>46</v>
      </c>
      <c r="V47">
        <f t="shared" ca="1" si="0"/>
        <v>4698</v>
      </c>
    </row>
    <row r="48" spans="1:22">
      <c r="A48" t="s">
        <v>98</v>
      </c>
      <c r="B48" t="s">
        <v>99</v>
      </c>
      <c r="D48">
        <v>2281</v>
      </c>
      <c r="I48" s="4" t="s">
        <v>20</v>
      </c>
      <c r="N48">
        <v>47</v>
      </c>
      <c r="V48">
        <f t="shared" ca="1" si="0"/>
        <v>614</v>
      </c>
    </row>
    <row r="49" spans="1:22">
      <c r="A49" t="s">
        <v>98</v>
      </c>
      <c r="B49" t="s">
        <v>99</v>
      </c>
      <c r="D49">
        <v>976</v>
      </c>
      <c r="I49" s="4" t="s">
        <v>21</v>
      </c>
      <c r="N49">
        <v>48</v>
      </c>
      <c r="V49">
        <f t="shared" ca="1" si="0"/>
        <v>4553</v>
      </c>
    </row>
    <row r="50" spans="1:22">
      <c r="A50" t="s">
        <v>98</v>
      </c>
      <c r="B50" t="s">
        <v>99</v>
      </c>
      <c r="D50">
        <v>4349</v>
      </c>
      <c r="I50" s="4" t="s">
        <v>100</v>
      </c>
      <c r="N50">
        <v>49</v>
      </c>
      <c r="V50">
        <f t="shared" ca="1" si="0"/>
        <v>4233</v>
      </c>
    </row>
    <row r="51" spans="1:22">
      <c r="A51" t="s">
        <v>98</v>
      </c>
      <c r="B51" t="s">
        <v>99</v>
      </c>
      <c r="D51">
        <v>604</v>
      </c>
      <c r="I51" s="4" t="s">
        <v>101</v>
      </c>
      <c r="N51">
        <v>50</v>
      </c>
      <c r="V51">
        <f t="shared" ca="1" si="0"/>
        <v>2104</v>
      </c>
    </row>
    <row r="52" spans="1:22">
      <c r="A52" t="s">
        <v>98</v>
      </c>
      <c r="B52" t="s">
        <v>99</v>
      </c>
      <c r="D52">
        <v>3149</v>
      </c>
      <c r="I52" s="4" t="s">
        <v>27</v>
      </c>
      <c r="N52">
        <v>51</v>
      </c>
      <c r="V52">
        <f t="shared" ca="1" si="0"/>
        <v>3055</v>
      </c>
    </row>
    <row r="53" spans="1:22">
      <c r="A53" t="s">
        <v>98</v>
      </c>
      <c r="B53" t="s">
        <v>99</v>
      </c>
      <c r="D53">
        <v>2458</v>
      </c>
      <c r="I53" s="4" t="s">
        <v>30</v>
      </c>
      <c r="N53">
        <v>52</v>
      </c>
      <c r="V53">
        <f t="shared" ca="1" si="0"/>
        <v>3158</v>
      </c>
    </row>
    <row r="54" spans="1:22">
      <c r="A54" t="s">
        <v>98</v>
      </c>
      <c r="B54" t="s">
        <v>99</v>
      </c>
      <c r="D54">
        <v>3390</v>
      </c>
      <c r="I54" s="4" t="s">
        <v>32</v>
      </c>
      <c r="N54">
        <v>53</v>
      </c>
      <c r="V54">
        <f t="shared" ca="1" si="0"/>
        <v>1318</v>
      </c>
    </row>
    <row r="55" spans="1:22">
      <c r="A55" t="s">
        <v>98</v>
      </c>
      <c r="B55" t="s">
        <v>99</v>
      </c>
      <c r="D55">
        <v>2481</v>
      </c>
      <c r="I55" s="4" t="s">
        <v>41</v>
      </c>
      <c r="N55">
        <v>54</v>
      </c>
      <c r="V55">
        <f t="shared" ca="1" si="0"/>
        <v>4611</v>
      </c>
    </row>
    <row r="56" spans="1:22">
      <c r="A56" t="s">
        <v>98</v>
      </c>
      <c r="B56" t="s">
        <v>99</v>
      </c>
      <c r="D56">
        <v>1965</v>
      </c>
      <c r="I56" s="4" t="s">
        <v>48</v>
      </c>
      <c r="N56">
        <v>55</v>
      </c>
      <c r="V56">
        <f t="shared" ca="1" si="0"/>
        <v>1854</v>
      </c>
    </row>
    <row r="57" spans="1:22">
      <c r="A57" t="s">
        <v>98</v>
      </c>
      <c r="B57" t="s">
        <v>99</v>
      </c>
      <c r="D57">
        <v>76</v>
      </c>
      <c r="I57" s="4" t="s">
        <v>53</v>
      </c>
      <c r="N57">
        <v>56</v>
      </c>
      <c r="V57">
        <f t="shared" ca="1" si="0"/>
        <v>4226</v>
      </c>
    </row>
    <row r="58" spans="1:22">
      <c r="A58" t="s">
        <v>98</v>
      </c>
      <c r="B58" t="s">
        <v>99</v>
      </c>
      <c r="D58">
        <v>1157</v>
      </c>
      <c r="I58" s="4" t="s">
        <v>59</v>
      </c>
      <c r="N58">
        <v>57</v>
      </c>
      <c r="V58">
        <f t="shared" ca="1" si="0"/>
        <v>3913</v>
      </c>
    </row>
    <row r="59" spans="1:22">
      <c r="A59" t="s">
        <v>98</v>
      </c>
      <c r="B59" t="s">
        <v>99</v>
      </c>
      <c r="D59">
        <v>3628</v>
      </c>
      <c r="I59" s="4" t="s">
        <v>63</v>
      </c>
      <c r="N59">
        <v>58</v>
      </c>
      <c r="V59">
        <f t="shared" ca="1" si="0"/>
        <v>1684</v>
      </c>
    </row>
    <row r="60" spans="1:22">
      <c r="A60" t="s">
        <v>98</v>
      </c>
      <c r="B60" t="s">
        <v>99</v>
      </c>
      <c r="D60">
        <v>4253</v>
      </c>
      <c r="I60" s="4" t="s">
        <v>66</v>
      </c>
      <c r="N60">
        <v>59</v>
      </c>
      <c r="V60">
        <f t="shared" ca="1" si="0"/>
        <v>4706</v>
      </c>
    </row>
    <row r="61" spans="1:22">
      <c r="A61" t="s">
        <v>98</v>
      </c>
      <c r="B61" t="s">
        <v>99</v>
      </c>
      <c r="D61">
        <v>1774</v>
      </c>
      <c r="I61" s="4" t="s">
        <v>102</v>
      </c>
      <c r="N61">
        <v>60</v>
      </c>
      <c r="V61">
        <f t="shared" ca="1" si="0"/>
        <v>1684</v>
      </c>
    </row>
    <row r="62" spans="1:22">
      <c r="A62" t="s">
        <v>98</v>
      </c>
      <c r="B62" t="s">
        <v>99</v>
      </c>
      <c r="D62">
        <v>791</v>
      </c>
      <c r="I62" s="4" t="s">
        <v>71</v>
      </c>
      <c r="N62">
        <v>61</v>
      </c>
      <c r="V62">
        <f t="shared" ca="1" si="0"/>
        <v>4675</v>
      </c>
    </row>
    <row r="63" spans="1:22">
      <c r="A63" t="s">
        <v>98</v>
      </c>
      <c r="B63" t="s">
        <v>99</v>
      </c>
      <c r="D63">
        <v>3051</v>
      </c>
      <c r="I63" s="4" t="s">
        <v>103</v>
      </c>
      <c r="N63">
        <v>62</v>
      </c>
      <c r="V63">
        <f t="shared" ca="1" si="0"/>
        <v>2870</v>
      </c>
    </row>
    <row r="64" spans="1:22">
      <c r="A64" t="s">
        <v>98</v>
      </c>
      <c r="B64" t="s">
        <v>99</v>
      </c>
      <c r="D64">
        <v>1129</v>
      </c>
      <c r="I64" s="4" t="s">
        <v>73</v>
      </c>
      <c r="N64">
        <v>63</v>
      </c>
      <c r="V64">
        <f t="shared" ca="1" si="0"/>
        <v>2281</v>
      </c>
    </row>
    <row r="65" spans="1:22">
      <c r="A65" t="s">
        <v>98</v>
      </c>
      <c r="B65" t="s">
        <v>99</v>
      </c>
      <c r="D65">
        <v>5236</v>
      </c>
      <c r="I65" s="4" t="s">
        <v>104</v>
      </c>
      <c r="N65">
        <v>64</v>
      </c>
      <c r="V65">
        <f t="shared" ca="1" si="0"/>
        <v>5152</v>
      </c>
    </row>
    <row r="66" spans="1:22">
      <c r="A66" t="s">
        <v>98</v>
      </c>
      <c r="B66" t="s">
        <v>99</v>
      </c>
      <c r="D66">
        <v>2299</v>
      </c>
      <c r="I66" s="4" t="s">
        <v>81</v>
      </c>
      <c r="N66">
        <v>65</v>
      </c>
      <c r="V66">
        <f t="shared" ca="1" si="0"/>
        <v>153</v>
      </c>
    </row>
    <row r="67" spans="1:22">
      <c r="A67" t="s">
        <v>98</v>
      </c>
      <c r="B67" t="s">
        <v>99</v>
      </c>
      <c r="D67">
        <v>1101</v>
      </c>
      <c r="I67" s="4" t="s">
        <v>97</v>
      </c>
      <c r="N67">
        <v>66</v>
      </c>
      <c r="V67">
        <f t="shared" ca="1" si="0"/>
        <v>3010</v>
      </c>
    </row>
    <row r="68" spans="1:22">
      <c r="A68" t="s">
        <v>98</v>
      </c>
      <c r="B68" t="s">
        <v>99</v>
      </c>
      <c r="D68">
        <v>1504</v>
      </c>
      <c r="I68" s="4" t="s">
        <v>84</v>
      </c>
      <c r="N68">
        <v>67</v>
      </c>
      <c r="V68">
        <f t="shared" ca="1" si="0"/>
        <v>4888</v>
      </c>
    </row>
    <row r="69" spans="1:22">
      <c r="A69" t="s">
        <v>105</v>
      </c>
      <c r="B69" t="s">
        <v>106</v>
      </c>
      <c r="D69">
        <v>179</v>
      </c>
      <c r="I69" s="5" t="s">
        <v>16</v>
      </c>
      <c r="N69">
        <v>68</v>
      </c>
      <c r="V69">
        <f t="shared" ca="1" si="0"/>
        <v>1083</v>
      </c>
    </row>
    <row r="70" spans="1:22">
      <c r="A70" t="s">
        <v>105</v>
      </c>
      <c r="B70" t="s">
        <v>106</v>
      </c>
      <c r="D70">
        <v>1897</v>
      </c>
      <c r="I70" s="5" t="s">
        <v>18</v>
      </c>
      <c r="N70">
        <v>69</v>
      </c>
      <c r="V70">
        <f t="shared" ca="1" si="0"/>
        <v>4607</v>
      </c>
    </row>
    <row r="71" spans="1:22">
      <c r="A71" t="s">
        <v>105</v>
      </c>
      <c r="B71" t="s">
        <v>106</v>
      </c>
      <c r="D71">
        <v>1722</v>
      </c>
      <c r="I71" s="5" t="s">
        <v>20</v>
      </c>
      <c r="N71">
        <v>70</v>
      </c>
      <c r="V71">
        <f t="shared" ref="V71:V134" ca="1" si="1">RANDBETWEEN(1, 5342)</f>
        <v>311</v>
      </c>
    </row>
    <row r="72" spans="1:22">
      <c r="A72" t="s">
        <v>105</v>
      </c>
      <c r="B72" t="s">
        <v>106</v>
      </c>
      <c r="D72">
        <v>4234</v>
      </c>
      <c r="I72" s="5" t="s">
        <v>21</v>
      </c>
      <c r="N72">
        <v>71</v>
      </c>
      <c r="V72">
        <f t="shared" ca="1" si="1"/>
        <v>40</v>
      </c>
    </row>
    <row r="73" spans="1:22">
      <c r="A73" t="s">
        <v>105</v>
      </c>
      <c r="B73" t="s">
        <v>106</v>
      </c>
      <c r="D73">
        <v>4003</v>
      </c>
      <c r="I73" s="5" t="s">
        <v>107</v>
      </c>
      <c r="N73">
        <v>72</v>
      </c>
      <c r="V73">
        <f t="shared" ca="1" si="1"/>
        <v>4392</v>
      </c>
    </row>
    <row r="74" spans="1:22">
      <c r="A74" t="s">
        <v>105</v>
      </c>
      <c r="B74" t="s">
        <v>106</v>
      </c>
      <c r="D74">
        <v>4001</v>
      </c>
      <c r="I74" s="5" t="s">
        <v>108</v>
      </c>
      <c r="N74">
        <v>73</v>
      </c>
      <c r="V74">
        <f t="shared" ca="1" si="1"/>
        <v>3135</v>
      </c>
    </row>
    <row r="75" spans="1:22">
      <c r="A75" t="s">
        <v>105</v>
      </c>
      <c r="B75" t="s">
        <v>106</v>
      </c>
      <c r="D75">
        <v>5190</v>
      </c>
      <c r="I75" s="5" t="s">
        <v>27</v>
      </c>
      <c r="N75">
        <v>74</v>
      </c>
      <c r="V75">
        <f t="shared" ca="1" si="1"/>
        <v>3789</v>
      </c>
    </row>
    <row r="76" spans="1:22">
      <c r="A76" t="s">
        <v>105</v>
      </c>
      <c r="B76" t="s">
        <v>106</v>
      </c>
      <c r="D76">
        <v>3672</v>
      </c>
      <c r="I76" s="5" t="s">
        <v>30</v>
      </c>
      <c r="N76">
        <v>75</v>
      </c>
      <c r="V76">
        <f t="shared" ca="1" si="1"/>
        <v>3617</v>
      </c>
    </row>
    <row r="77" spans="1:22">
      <c r="A77" t="s">
        <v>105</v>
      </c>
      <c r="B77" t="s">
        <v>106</v>
      </c>
      <c r="D77">
        <v>4090</v>
      </c>
      <c r="I77" s="5" t="s">
        <v>32</v>
      </c>
      <c r="N77">
        <v>76</v>
      </c>
      <c r="V77">
        <f t="shared" ca="1" si="1"/>
        <v>5057</v>
      </c>
    </row>
    <row r="78" spans="1:22">
      <c r="A78" t="s">
        <v>105</v>
      </c>
      <c r="B78" t="s">
        <v>106</v>
      </c>
      <c r="D78">
        <v>1568</v>
      </c>
      <c r="I78" s="5" t="s">
        <v>41</v>
      </c>
      <c r="N78">
        <v>77</v>
      </c>
      <c r="V78">
        <f t="shared" ca="1" si="1"/>
        <v>2776</v>
      </c>
    </row>
    <row r="79" spans="1:22">
      <c r="A79" t="s">
        <v>105</v>
      </c>
      <c r="B79" t="s">
        <v>106</v>
      </c>
      <c r="D79">
        <v>4657</v>
      </c>
      <c r="I79" s="5" t="s">
        <v>48</v>
      </c>
      <c r="N79">
        <v>78</v>
      </c>
      <c r="V79">
        <f t="shared" ca="1" si="1"/>
        <v>4744</v>
      </c>
    </row>
    <row r="80" spans="1:22">
      <c r="A80" t="s">
        <v>105</v>
      </c>
      <c r="B80" t="s">
        <v>106</v>
      </c>
      <c r="D80">
        <v>1210</v>
      </c>
      <c r="I80" s="5" t="s">
        <v>53</v>
      </c>
      <c r="N80">
        <v>79</v>
      </c>
      <c r="V80">
        <f t="shared" ca="1" si="1"/>
        <v>3495</v>
      </c>
    </row>
    <row r="81" spans="1:22">
      <c r="A81" t="s">
        <v>105</v>
      </c>
      <c r="B81" t="s">
        <v>106</v>
      </c>
      <c r="D81">
        <v>3683</v>
      </c>
      <c r="I81" s="5" t="s">
        <v>59</v>
      </c>
      <c r="N81">
        <v>80</v>
      </c>
      <c r="V81">
        <f t="shared" ca="1" si="1"/>
        <v>268</v>
      </c>
    </row>
    <row r="82" spans="1:22">
      <c r="A82" t="s">
        <v>105</v>
      </c>
      <c r="B82" t="s">
        <v>106</v>
      </c>
      <c r="D82">
        <v>3390</v>
      </c>
      <c r="I82" s="5" t="s">
        <v>63</v>
      </c>
      <c r="N82">
        <v>81</v>
      </c>
      <c r="V82">
        <f t="shared" ca="1" si="1"/>
        <v>1820</v>
      </c>
    </row>
    <row r="83" spans="1:22">
      <c r="A83" t="s">
        <v>105</v>
      </c>
      <c r="B83" t="s">
        <v>106</v>
      </c>
      <c r="D83">
        <v>2506</v>
      </c>
      <c r="I83" s="5" t="s">
        <v>66</v>
      </c>
      <c r="N83">
        <v>82</v>
      </c>
      <c r="V83">
        <f t="shared" ca="1" si="1"/>
        <v>3533</v>
      </c>
    </row>
    <row r="84" spans="1:22">
      <c r="A84" t="s">
        <v>105</v>
      </c>
      <c r="B84" t="s">
        <v>106</v>
      </c>
      <c r="D84">
        <v>2438</v>
      </c>
      <c r="I84" s="5" t="s">
        <v>69</v>
      </c>
      <c r="N84">
        <v>83</v>
      </c>
      <c r="V84">
        <f t="shared" ca="1" si="1"/>
        <v>1037</v>
      </c>
    </row>
    <row r="85" spans="1:22">
      <c r="A85" t="s">
        <v>105</v>
      </c>
      <c r="B85" t="s">
        <v>106</v>
      </c>
      <c r="D85">
        <v>4781</v>
      </c>
      <c r="I85" s="5" t="s">
        <v>102</v>
      </c>
      <c r="N85">
        <v>84</v>
      </c>
      <c r="V85">
        <f t="shared" ca="1" si="1"/>
        <v>4834</v>
      </c>
    </row>
    <row r="86" spans="1:22">
      <c r="A86" t="s">
        <v>105</v>
      </c>
      <c r="B86" t="s">
        <v>106</v>
      </c>
      <c r="D86">
        <v>3669</v>
      </c>
      <c r="I86" s="5" t="s">
        <v>71</v>
      </c>
      <c r="N86">
        <v>85</v>
      </c>
      <c r="V86">
        <f t="shared" ca="1" si="1"/>
        <v>4204</v>
      </c>
    </row>
    <row r="87" spans="1:22">
      <c r="A87" t="s">
        <v>105</v>
      </c>
      <c r="B87" t="s">
        <v>106</v>
      </c>
      <c r="D87">
        <v>716</v>
      </c>
      <c r="I87" s="5" t="s">
        <v>73</v>
      </c>
      <c r="N87">
        <v>86</v>
      </c>
      <c r="V87">
        <f t="shared" ca="1" si="1"/>
        <v>2767</v>
      </c>
    </row>
    <row r="88" spans="1:22">
      <c r="A88" t="s">
        <v>105</v>
      </c>
      <c r="B88" t="s">
        <v>106</v>
      </c>
      <c r="D88">
        <v>1499</v>
      </c>
      <c r="I88" s="5" t="s">
        <v>76</v>
      </c>
      <c r="N88">
        <v>87</v>
      </c>
      <c r="V88">
        <f t="shared" ca="1" si="1"/>
        <v>2359</v>
      </c>
    </row>
    <row r="89" spans="1:22">
      <c r="A89" t="s">
        <v>105</v>
      </c>
      <c r="B89" t="s">
        <v>106</v>
      </c>
      <c r="D89">
        <v>1661</v>
      </c>
      <c r="I89" s="5" t="s">
        <v>97</v>
      </c>
      <c r="N89">
        <v>88</v>
      </c>
      <c r="V89">
        <f t="shared" ca="1" si="1"/>
        <v>1944</v>
      </c>
    </row>
    <row r="90" spans="1:22">
      <c r="A90" t="s">
        <v>105</v>
      </c>
      <c r="B90" t="s">
        <v>106</v>
      </c>
      <c r="D90">
        <v>2225</v>
      </c>
      <c r="I90" s="5" t="s">
        <v>84</v>
      </c>
      <c r="N90">
        <v>89</v>
      </c>
      <c r="V90">
        <f t="shared" ca="1" si="1"/>
        <v>3136</v>
      </c>
    </row>
    <row r="91" spans="1:22">
      <c r="A91" t="s">
        <v>105</v>
      </c>
      <c r="B91" t="s">
        <v>106</v>
      </c>
      <c r="D91">
        <v>4373</v>
      </c>
      <c r="I91" s="5" t="s">
        <v>87</v>
      </c>
      <c r="N91">
        <v>90</v>
      </c>
      <c r="V91">
        <f t="shared" ca="1" si="1"/>
        <v>1236</v>
      </c>
    </row>
    <row r="92" spans="1:22">
      <c r="A92" t="s">
        <v>109</v>
      </c>
      <c r="B92" t="s">
        <v>110</v>
      </c>
      <c r="D92">
        <v>995</v>
      </c>
      <c r="I92" s="6" t="s">
        <v>16</v>
      </c>
      <c r="N92">
        <v>91</v>
      </c>
      <c r="V92">
        <f t="shared" ca="1" si="1"/>
        <v>2807</v>
      </c>
    </row>
    <row r="93" spans="1:22">
      <c r="A93" t="s">
        <v>109</v>
      </c>
      <c r="B93" t="s">
        <v>110</v>
      </c>
      <c r="D93">
        <v>5044</v>
      </c>
      <c r="I93" s="6" t="s">
        <v>18</v>
      </c>
      <c r="N93">
        <v>92</v>
      </c>
      <c r="V93">
        <f t="shared" ca="1" si="1"/>
        <v>3360</v>
      </c>
    </row>
    <row r="94" spans="1:22">
      <c r="A94" t="s">
        <v>109</v>
      </c>
      <c r="B94" t="s">
        <v>110</v>
      </c>
      <c r="D94">
        <v>668</v>
      </c>
      <c r="I94" s="6" t="s">
        <v>20</v>
      </c>
      <c r="N94">
        <v>93</v>
      </c>
      <c r="V94">
        <f t="shared" ca="1" si="1"/>
        <v>4428</v>
      </c>
    </row>
    <row r="95" spans="1:22">
      <c r="A95" t="s">
        <v>109</v>
      </c>
      <c r="B95" t="s">
        <v>110</v>
      </c>
      <c r="D95">
        <v>803</v>
      </c>
      <c r="I95" s="6" t="s">
        <v>21</v>
      </c>
      <c r="N95">
        <v>94</v>
      </c>
      <c r="V95">
        <f t="shared" ca="1" si="1"/>
        <v>3215</v>
      </c>
    </row>
    <row r="96" spans="1:22">
      <c r="A96" t="s">
        <v>109</v>
      </c>
      <c r="B96" t="s">
        <v>110</v>
      </c>
      <c r="D96">
        <v>1820</v>
      </c>
      <c r="I96" s="6" t="s">
        <v>111</v>
      </c>
      <c r="N96">
        <v>95</v>
      </c>
      <c r="V96">
        <f t="shared" ca="1" si="1"/>
        <v>2931</v>
      </c>
    </row>
    <row r="97" spans="1:22">
      <c r="A97" t="s">
        <v>109</v>
      </c>
      <c r="B97" t="s">
        <v>110</v>
      </c>
      <c r="D97">
        <v>636</v>
      </c>
      <c r="I97" s="6" t="s">
        <v>112</v>
      </c>
      <c r="N97">
        <v>96</v>
      </c>
      <c r="V97">
        <f t="shared" ca="1" si="1"/>
        <v>2416</v>
      </c>
    </row>
    <row r="98" spans="1:22">
      <c r="A98" t="s">
        <v>109</v>
      </c>
      <c r="B98" t="s">
        <v>110</v>
      </c>
      <c r="D98">
        <v>4779</v>
      </c>
      <c r="I98" s="6" t="s">
        <v>27</v>
      </c>
      <c r="N98">
        <v>97</v>
      </c>
      <c r="V98">
        <f t="shared" ca="1" si="1"/>
        <v>809</v>
      </c>
    </row>
    <row r="99" spans="1:22">
      <c r="A99" t="s">
        <v>109</v>
      </c>
      <c r="B99" t="s">
        <v>110</v>
      </c>
      <c r="D99">
        <v>1220</v>
      </c>
      <c r="I99" s="6" t="s">
        <v>30</v>
      </c>
      <c r="N99">
        <v>98</v>
      </c>
      <c r="V99">
        <f t="shared" ca="1" si="1"/>
        <v>3649</v>
      </c>
    </row>
    <row r="100" spans="1:22">
      <c r="A100" t="s">
        <v>109</v>
      </c>
      <c r="B100" t="s">
        <v>110</v>
      </c>
      <c r="D100">
        <v>3607</v>
      </c>
      <c r="I100" s="6" t="s">
        <v>32</v>
      </c>
      <c r="N100">
        <v>99</v>
      </c>
      <c r="V100">
        <f t="shared" ca="1" si="1"/>
        <v>22</v>
      </c>
    </row>
    <row r="101" spans="1:22">
      <c r="A101" t="s">
        <v>109</v>
      </c>
      <c r="B101" t="s">
        <v>110</v>
      </c>
      <c r="D101">
        <v>3426</v>
      </c>
      <c r="I101" s="6" t="s">
        <v>41</v>
      </c>
      <c r="N101">
        <v>100</v>
      </c>
      <c r="V101">
        <f t="shared" ca="1" si="1"/>
        <v>2874</v>
      </c>
    </row>
    <row r="102" spans="1:22">
      <c r="A102" t="s">
        <v>109</v>
      </c>
      <c r="B102" t="s">
        <v>110</v>
      </c>
      <c r="D102">
        <v>4330</v>
      </c>
      <c r="I102" s="6" t="s">
        <v>48</v>
      </c>
      <c r="N102">
        <v>101</v>
      </c>
      <c r="V102">
        <f t="shared" ca="1" si="1"/>
        <v>3127</v>
      </c>
    </row>
    <row r="103" spans="1:22">
      <c r="A103" t="s">
        <v>109</v>
      </c>
      <c r="B103" t="s">
        <v>110</v>
      </c>
      <c r="D103">
        <v>1669</v>
      </c>
      <c r="I103" s="6" t="s">
        <v>53</v>
      </c>
      <c r="N103">
        <v>102</v>
      </c>
      <c r="V103">
        <f t="shared" ca="1" si="1"/>
        <v>3505</v>
      </c>
    </row>
    <row r="104" spans="1:22">
      <c r="A104" t="s">
        <v>109</v>
      </c>
      <c r="B104" t="s">
        <v>110</v>
      </c>
      <c r="D104">
        <v>1075</v>
      </c>
      <c r="I104" s="6" t="s">
        <v>59</v>
      </c>
      <c r="N104">
        <v>103</v>
      </c>
      <c r="V104">
        <f t="shared" ca="1" si="1"/>
        <v>3459</v>
      </c>
    </row>
    <row r="105" spans="1:22">
      <c r="A105" t="s">
        <v>109</v>
      </c>
      <c r="B105" t="s">
        <v>110</v>
      </c>
      <c r="D105">
        <v>3411</v>
      </c>
      <c r="I105" s="6" t="s">
        <v>63</v>
      </c>
      <c r="N105">
        <v>104</v>
      </c>
      <c r="V105">
        <f t="shared" ca="1" si="1"/>
        <v>2688</v>
      </c>
    </row>
    <row r="106" spans="1:22">
      <c r="A106" t="s">
        <v>109</v>
      </c>
      <c r="B106" t="s">
        <v>110</v>
      </c>
      <c r="D106">
        <v>4629</v>
      </c>
      <c r="I106" s="6" t="s">
        <v>66</v>
      </c>
      <c r="N106">
        <v>105</v>
      </c>
      <c r="V106">
        <f t="shared" ca="1" si="1"/>
        <v>4014</v>
      </c>
    </row>
    <row r="107" spans="1:22">
      <c r="A107" t="s">
        <v>109</v>
      </c>
      <c r="B107" t="s">
        <v>110</v>
      </c>
      <c r="D107">
        <v>3965</v>
      </c>
      <c r="I107" s="6" t="s">
        <v>102</v>
      </c>
      <c r="N107">
        <v>106</v>
      </c>
      <c r="V107">
        <f t="shared" ca="1" si="1"/>
        <v>3626</v>
      </c>
    </row>
    <row r="108" spans="1:22">
      <c r="A108" t="s">
        <v>109</v>
      </c>
      <c r="B108" t="s">
        <v>110</v>
      </c>
      <c r="D108">
        <v>3393</v>
      </c>
      <c r="I108" s="6" t="s">
        <v>103</v>
      </c>
      <c r="N108">
        <v>107</v>
      </c>
      <c r="V108">
        <f t="shared" ca="1" si="1"/>
        <v>3122</v>
      </c>
    </row>
    <row r="109" spans="1:22">
      <c r="A109" t="s">
        <v>109</v>
      </c>
      <c r="B109" t="s">
        <v>110</v>
      </c>
      <c r="D109">
        <v>3351</v>
      </c>
      <c r="I109" s="6" t="s">
        <v>95</v>
      </c>
      <c r="N109">
        <v>108</v>
      </c>
      <c r="V109">
        <f t="shared" ca="1" si="1"/>
        <v>615</v>
      </c>
    </row>
    <row r="110" spans="1:22">
      <c r="A110" t="s">
        <v>109</v>
      </c>
      <c r="B110" t="s">
        <v>110</v>
      </c>
      <c r="D110">
        <v>4330</v>
      </c>
      <c r="I110" s="6" t="s">
        <v>104</v>
      </c>
      <c r="N110">
        <v>109</v>
      </c>
      <c r="V110">
        <f t="shared" ca="1" si="1"/>
        <v>923</v>
      </c>
    </row>
    <row r="111" spans="1:22">
      <c r="A111" t="s">
        <v>109</v>
      </c>
      <c r="B111" t="s">
        <v>110</v>
      </c>
      <c r="D111">
        <v>1171</v>
      </c>
      <c r="I111" s="6" t="s">
        <v>76</v>
      </c>
      <c r="N111">
        <v>110</v>
      </c>
      <c r="V111">
        <f t="shared" ca="1" si="1"/>
        <v>1422</v>
      </c>
    </row>
    <row r="112" spans="1:22">
      <c r="A112" t="s">
        <v>109</v>
      </c>
      <c r="B112" t="s">
        <v>110</v>
      </c>
      <c r="D112">
        <v>1753</v>
      </c>
      <c r="I112" s="6" t="s">
        <v>96</v>
      </c>
      <c r="N112">
        <v>111</v>
      </c>
      <c r="V112">
        <f t="shared" ca="1" si="1"/>
        <v>3592</v>
      </c>
    </row>
    <row r="113" spans="1:22">
      <c r="A113" t="s">
        <v>109</v>
      </c>
      <c r="B113" t="s">
        <v>110</v>
      </c>
      <c r="D113">
        <v>1638</v>
      </c>
      <c r="I113" s="6" t="s">
        <v>97</v>
      </c>
      <c r="N113">
        <v>112</v>
      </c>
      <c r="V113">
        <f t="shared" ca="1" si="1"/>
        <v>4034</v>
      </c>
    </row>
    <row r="114" spans="1:22">
      <c r="A114" t="s">
        <v>109</v>
      </c>
      <c r="B114" t="s">
        <v>110</v>
      </c>
      <c r="D114">
        <v>4435</v>
      </c>
      <c r="I114" s="6" t="s">
        <v>84</v>
      </c>
      <c r="N114">
        <v>113</v>
      </c>
      <c r="V114">
        <f t="shared" ca="1" si="1"/>
        <v>1779</v>
      </c>
    </row>
    <row r="115" spans="1:22">
      <c r="A115" t="s">
        <v>113</v>
      </c>
      <c r="B115" t="s">
        <v>114</v>
      </c>
      <c r="D115">
        <v>726</v>
      </c>
      <c r="I115" s="7" t="s">
        <v>16</v>
      </c>
      <c r="N115">
        <v>114</v>
      </c>
      <c r="V115">
        <f t="shared" ca="1" si="1"/>
        <v>798</v>
      </c>
    </row>
    <row r="116" spans="1:22">
      <c r="A116" t="s">
        <v>113</v>
      </c>
      <c r="B116" t="s">
        <v>114</v>
      </c>
      <c r="D116">
        <v>1470</v>
      </c>
      <c r="I116" s="7" t="s">
        <v>18</v>
      </c>
      <c r="N116">
        <v>115</v>
      </c>
      <c r="V116">
        <f t="shared" ca="1" si="1"/>
        <v>2285</v>
      </c>
    </row>
    <row r="117" spans="1:22">
      <c r="A117" t="s">
        <v>113</v>
      </c>
      <c r="B117" t="s">
        <v>114</v>
      </c>
      <c r="D117">
        <v>2604</v>
      </c>
      <c r="I117" s="7" t="s">
        <v>20</v>
      </c>
      <c r="N117">
        <v>116</v>
      </c>
      <c r="V117">
        <f t="shared" ca="1" si="1"/>
        <v>4335</v>
      </c>
    </row>
    <row r="118" spans="1:22">
      <c r="A118" t="s">
        <v>113</v>
      </c>
      <c r="B118" t="s">
        <v>114</v>
      </c>
      <c r="D118">
        <v>1947</v>
      </c>
      <c r="I118" s="7" t="s">
        <v>21</v>
      </c>
      <c r="N118">
        <v>117</v>
      </c>
      <c r="V118">
        <f t="shared" ca="1" si="1"/>
        <v>399</v>
      </c>
    </row>
    <row r="119" spans="1:22">
      <c r="A119" t="s">
        <v>113</v>
      </c>
      <c r="B119" t="s">
        <v>114</v>
      </c>
      <c r="D119">
        <v>1122</v>
      </c>
      <c r="I119" s="7" t="s">
        <v>115</v>
      </c>
      <c r="N119">
        <v>118</v>
      </c>
      <c r="V119">
        <f t="shared" ca="1" si="1"/>
        <v>1883</v>
      </c>
    </row>
    <row r="120" spans="1:22">
      <c r="A120" t="s">
        <v>113</v>
      </c>
      <c r="B120" t="s">
        <v>114</v>
      </c>
      <c r="D120">
        <v>4586</v>
      </c>
      <c r="I120" s="7" t="s">
        <v>116</v>
      </c>
      <c r="N120">
        <v>119</v>
      </c>
      <c r="V120">
        <f t="shared" ca="1" si="1"/>
        <v>407</v>
      </c>
    </row>
    <row r="121" spans="1:22">
      <c r="A121" t="s">
        <v>113</v>
      </c>
      <c r="B121" t="s">
        <v>114</v>
      </c>
      <c r="D121">
        <v>4117</v>
      </c>
      <c r="I121" s="7" t="s">
        <v>27</v>
      </c>
      <c r="N121">
        <v>120</v>
      </c>
      <c r="V121">
        <f t="shared" ca="1" si="1"/>
        <v>2462</v>
      </c>
    </row>
    <row r="122" spans="1:22">
      <c r="A122" t="s">
        <v>113</v>
      </c>
      <c r="B122" t="s">
        <v>114</v>
      </c>
      <c r="D122">
        <v>1300</v>
      </c>
      <c r="I122" s="7" t="s">
        <v>30</v>
      </c>
      <c r="N122">
        <v>121</v>
      </c>
      <c r="V122">
        <f t="shared" ca="1" si="1"/>
        <v>3025</v>
      </c>
    </row>
    <row r="123" spans="1:22">
      <c r="A123" t="s">
        <v>113</v>
      </c>
      <c r="B123" t="s">
        <v>114</v>
      </c>
      <c r="D123">
        <v>626</v>
      </c>
      <c r="I123" s="7" t="s">
        <v>32</v>
      </c>
      <c r="N123">
        <v>122</v>
      </c>
      <c r="V123">
        <f t="shared" ca="1" si="1"/>
        <v>3245</v>
      </c>
    </row>
    <row r="124" spans="1:22">
      <c r="A124" t="s">
        <v>113</v>
      </c>
      <c r="B124" t="s">
        <v>114</v>
      </c>
      <c r="D124">
        <v>2657</v>
      </c>
      <c r="I124" s="7" t="s">
        <v>41</v>
      </c>
      <c r="N124">
        <v>123</v>
      </c>
      <c r="V124">
        <f t="shared" ca="1" si="1"/>
        <v>4986</v>
      </c>
    </row>
    <row r="125" spans="1:22">
      <c r="A125" t="s">
        <v>113</v>
      </c>
      <c r="B125" t="s">
        <v>114</v>
      </c>
      <c r="D125">
        <v>4784</v>
      </c>
      <c r="I125" s="7" t="s">
        <v>48</v>
      </c>
      <c r="N125">
        <v>124</v>
      </c>
      <c r="V125">
        <f t="shared" ca="1" si="1"/>
        <v>1415</v>
      </c>
    </row>
    <row r="126" spans="1:22">
      <c r="A126" t="s">
        <v>113</v>
      </c>
      <c r="B126" t="s">
        <v>114</v>
      </c>
      <c r="D126">
        <v>3559</v>
      </c>
      <c r="I126" s="7" t="s">
        <v>53</v>
      </c>
      <c r="N126">
        <v>125</v>
      </c>
      <c r="V126">
        <f t="shared" ca="1" si="1"/>
        <v>1913</v>
      </c>
    </row>
    <row r="127" spans="1:22">
      <c r="A127" t="s">
        <v>113</v>
      </c>
      <c r="B127" t="s">
        <v>114</v>
      </c>
      <c r="D127">
        <v>4709</v>
      </c>
      <c r="I127" s="7" t="s">
        <v>59</v>
      </c>
      <c r="N127">
        <v>126</v>
      </c>
      <c r="V127">
        <f t="shared" ca="1" si="1"/>
        <v>3890</v>
      </c>
    </row>
    <row r="128" spans="1:22">
      <c r="A128" t="s">
        <v>113</v>
      </c>
      <c r="B128" t="s">
        <v>114</v>
      </c>
      <c r="D128">
        <v>4822</v>
      </c>
      <c r="I128" s="7" t="s">
        <v>63</v>
      </c>
      <c r="N128">
        <v>127</v>
      </c>
      <c r="V128">
        <f t="shared" ca="1" si="1"/>
        <v>3303</v>
      </c>
    </row>
    <row r="129" spans="1:22">
      <c r="A129" t="s">
        <v>113</v>
      </c>
      <c r="B129" t="s">
        <v>114</v>
      </c>
      <c r="D129">
        <v>2568</v>
      </c>
      <c r="I129" s="7" t="s">
        <v>66</v>
      </c>
      <c r="N129">
        <v>128</v>
      </c>
      <c r="V129">
        <f t="shared" ca="1" si="1"/>
        <v>1995</v>
      </c>
    </row>
    <row r="130" spans="1:22">
      <c r="A130" t="s">
        <v>113</v>
      </c>
      <c r="B130" t="s">
        <v>114</v>
      </c>
      <c r="D130">
        <v>1414</v>
      </c>
      <c r="I130" s="7" t="s">
        <v>102</v>
      </c>
      <c r="N130">
        <v>129</v>
      </c>
      <c r="V130">
        <f t="shared" ca="1" si="1"/>
        <v>2664</v>
      </c>
    </row>
    <row r="131" spans="1:22">
      <c r="A131" t="s">
        <v>113</v>
      </c>
      <c r="B131" t="s">
        <v>114</v>
      </c>
      <c r="D131">
        <v>928</v>
      </c>
      <c r="I131" s="7" t="s">
        <v>71</v>
      </c>
      <c r="N131">
        <v>130</v>
      </c>
      <c r="V131">
        <f t="shared" ca="1" si="1"/>
        <v>2829</v>
      </c>
    </row>
    <row r="132" spans="1:22">
      <c r="A132" t="s">
        <v>113</v>
      </c>
      <c r="B132" t="s">
        <v>114</v>
      </c>
      <c r="D132">
        <v>1955</v>
      </c>
      <c r="I132" s="7" t="s">
        <v>103</v>
      </c>
      <c r="N132">
        <v>131</v>
      </c>
      <c r="V132">
        <f t="shared" ca="1" si="1"/>
        <v>5031</v>
      </c>
    </row>
    <row r="133" spans="1:22">
      <c r="A133" t="s">
        <v>113</v>
      </c>
      <c r="B133" t="s">
        <v>114</v>
      </c>
      <c r="D133">
        <v>1617</v>
      </c>
      <c r="I133" s="7" t="s">
        <v>73</v>
      </c>
      <c r="N133">
        <v>132</v>
      </c>
      <c r="V133">
        <f t="shared" ca="1" si="1"/>
        <v>2598</v>
      </c>
    </row>
    <row r="134" spans="1:22">
      <c r="A134" t="s">
        <v>113</v>
      </c>
      <c r="B134" t="s">
        <v>114</v>
      </c>
      <c r="D134">
        <v>2316</v>
      </c>
      <c r="I134" s="7" t="s">
        <v>95</v>
      </c>
      <c r="N134">
        <v>133</v>
      </c>
      <c r="V134">
        <f t="shared" ca="1" si="1"/>
        <v>2768</v>
      </c>
    </row>
    <row r="135" spans="1:22">
      <c r="A135" t="s">
        <v>113</v>
      </c>
      <c r="B135" t="s">
        <v>114</v>
      </c>
      <c r="D135">
        <v>4996</v>
      </c>
      <c r="I135" s="7" t="s">
        <v>81</v>
      </c>
      <c r="N135">
        <v>134</v>
      </c>
      <c r="V135">
        <f t="shared" ref="V135:V198" ca="1" si="2">RANDBETWEEN(1, 5342)</f>
        <v>2731</v>
      </c>
    </row>
    <row r="136" spans="1:22">
      <c r="A136" t="s">
        <v>113</v>
      </c>
      <c r="B136" t="s">
        <v>114</v>
      </c>
      <c r="D136">
        <v>3809</v>
      </c>
      <c r="I136" s="7" t="s">
        <v>97</v>
      </c>
      <c r="N136">
        <v>135</v>
      </c>
      <c r="V136">
        <f t="shared" ca="1" si="2"/>
        <v>2380</v>
      </c>
    </row>
    <row r="137" spans="1:22">
      <c r="A137" t="s">
        <v>113</v>
      </c>
      <c r="B137" t="s">
        <v>114</v>
      </c>
      <c r="D137">
        <v>2825</v>
      </c>
      <c r="I137" s="7" t="s">
        <v>84</v>
      </c>
      <c r="N137">
        <v>136</v>
      </c>
      <c r="V137">
        <f t="shared" ca="1" si="2"/>
        <v>3508</v>
      </c>
    </row>
    <row r="138" spans="1:22">
      <c r="A138" t="s">
        <v>117</v>
      </c>
      <c r="B138" t="s">
        <v>99</v>
      </c>
      <c r="D138">
        <v>4428</v>
      </c>
      <c r="I138" s="3" t="s">
        <v>16</v>
      </c>
      <c r="N138">
        <v>137</v>
      </c>
      <c r="V138">
        <f t="shared" ca="1" si="2"/>
        <v>3125</v>
      </c>
    </row>
    <row r="139" spans="1:22">
      <c r="A139" t="s">
        <v>117</v>
      </c>
      <c r="B139" t="s">
        <v>99</v>
      </c>
      <c r="D139">
        <v>314</v>
      </c>
      <c r="I139" s="3" t="s">
        <v>18</v>
      </c>
      <c r="N139">
        <v>138</v>
      </c>
      <c r="V139">
        <f t="shared" ca="1" si="2"/>
        <v>2601</v>
      </c>
    </row>
    <row r="140" spans="1:22">
      <c r="A140" t="s">
        <v>117</v>
      </c>
      <c r="B140" t="s">
        <v>99</v>
      </c>
      <c r="D140">
        <v>3328</v>
      </c>
      <c r="I140" s="3" t="s">
        <v>20</v>
      </c>
      <c r="N140">
        <v>139</v>
      </c>
      <c r="V140">
        <f t="shared" ca="1" si="2"/>
        <v>1090</v>
      </c>
    </row>
    <row r="141" spans="1:22">
      <c r="A141" t="s">
        <v>117</v>
      </c>
      <c r="B141" t="s">
        <v>99</v>
      </c>
      <c r="D141">
        <v>3078</v>
      </c>
      <c r="I141" s="3" t="s">
        <v>21</v>
      </c>
      <c r="N141">
        <v>140</v>
      </c>
      <c r="V141">
        <f t="shared" ca="1" si="2"/>
        <v>4888</v>
      </c>
    </row>
    <row r="142" spans="1:22">
      <c r="A142" t="s">
        <v>117</v>
      </c>
      <c r="B142" t="s">
        <v>99</v>
      </c>
      <c r="D142">
        <v>3018</v>
      </c>
      <c r="I142" s="3" t="s">
        <v>118</v>
      </c>
      <c r="N142">
        <v>141</v>
      </c>
      <c r="V142">
        <f t="shared" ca="1" si="2"/>
        <v>2027</v>
      </c>
    </row>
    <row r="143" spans="1:22">
      <c r="A143" t="s">
        <v>117</v>
      </c>
      <c r="B143" t="s">
        <v>99</v>
      </c>
      <c r="D143">
        <v>3219</v>
      </c>
      <c r="I143" s="3" t="s">
        <v>119</v>
      </c>
      <c r="N143">
        <v>142</v>
      </c>
      <c r="V143">
        <f t="shared" ca="1" si="2"/>
        <v>2319</v>
      </c>
    </row>
    <row r="144" spans="1:22">
      <c r="A144" t="s">
        <v>117</v>
      </c>
      <c r="B144" t="s">
        <v>99</v>
      </c>
      <c r="D144">
        <v>1966</v>
      </c>
      <c r="I144" s="3" t="s">
        <v>27</v>
      </c>
      <c r="N144">
        <v>143</v>
      </c>
      <c r="V144">
        <f t="shared" ca="1" si="2"/>
        <v>2692</v>
      </c>
    </row>
    <row r="145" spans="1:22">
      <c r="A145" t="s">
        <v>117</v>
      </c>
      <c r="B145" t="s">
        <v>99</v>
      </c>
      <c r="D145">
        <v>5249</v>
      </c>
      <c r="I145" s="3" t="s">
        <v>30</v>
      </c>
      <c r="N145">
        <v>144</v>
      </c>
      <c r="V145">
        <f t="shared" ca="1" si="2"/>
        <v>5156</v>
      </c>
    </row>
    <row r="146" spans="1:22">
      <c r="A146" t="s">
        <v>117</v>
      </c>
      <c r="B146" t="s">
        <v>99</v>
      </c>
      <c r="D146">
        <v>5172</v>
      </c>
      <c r="I146" s="3" t="s">
        <v>32</v>
      </c>
      <c r="N146">
        <v>145</v>
      </c>
      <c r="V146">
        <f t="shared" ca="1" si="2"/>
        <v>1090</v>
      </c>
    </row>
    <row r="147" spans="1:22">
      <c r="A147" t="s">
        <v>117</v>
      </c>
      <c r="B147" t="s">
        <v>99</v>
      </c>
      <c r="D147">
        <v>2202</v>
      </c>
      <c r="I147" s="3" t="s">
        <v>41</v>
      </c>
      <c r="N147">
        <v>146</v>
      </c>
      <c r="V147">
        <f t="shared" ca="1" si="2"/>
        <v>3085</v>
      </c>
    </row>
    <row r="148" spans="1:22">
      <c r="A148" t="s">
        <v>117</v>
      </c>
      <c r="B148" t="s">
        <v>99</v>
      </c>
      <c r="D148">
        <v>4052</v>
      </c>
      <c r="I148" s="3" t="s">
        <v>48</v>
      </c>
      <c r="N148">
        <v>147</v>
      </c>
      <c r="V148">
        <f t="shared" ca="1" si="2"/>
        <v>2304</v>
      </c>
    </row>
    <row r="149" spans="1:22">
      <c r="A149" t="s">
        <v>117</v>
      </c>
      <c r="B149" t="s">
        <v>99</v>
      </c>
      <c r="D149">
        <v>4996</v>
      </c>
      <c r="I149" s="3" t="s">
        <v>53</v>
      </c>
      <c r="N149">
        <v>148</v>
      </c>
      <c r="V149">
        <f t="shared" ca="1" si="2"/>
        <v>4024</v>
      </c>
    </row>
    <row r="150" spans="1:22">
      <c r="A150" t="s">
        <v>117</v>
      </c>
      <c r="B150" t="s">
        <v>99</v>
      </c>
      <c r="D150">
        <v>3836</v>
      </c>
      <c r="I150" s="3" t="s">
        <v>59</v>
      </c>
      <c r="N150">
        <v>149</v>
      </c>
      <c r="V150">
        <f t="shared" ca="1" si="2"/>
        <v>4410</v>
      </c>
    </row>
    <row r="151" spans="1:22">
      <c r="A151" t="s">
        <v>117</v>
      </c>
      <c r="B151" t="s">
        <v>99</v>
      </c>
      <c r="D151">
        <v>5063</v>
      </c>
      <c r="I151" s="3" t="s">
        <v>63</v>
      </c>
      <c r="N151">
        <v>150</v>
      </c>
      <c r="V151">
        <f t="shared" ca="1" si="2"/>
        <v>584</v>
      </c>
    </row>
    <row r="152" spans="1:22">
      <c r="A152" t="s">
        <v>117</v>
      </c>
      <c r="B152" t="s">
        <v>99</v>
      </c>
      <c r="D152">
        <v>4548</v>
      </c>
      <c r="I152" s="3" t="s">
        <v>66</v>
      </c>
      <c r="N152">
        <v>151</v>
      </c>
      <c r="V152">
        <f t="shared" ca="1" si="2"/>
        <v>151</v>
      </c>
    </row>
    <row r="153" spans="1:22">
      <c r="A153" t="s">
        <v>117</v>
      </c>
      <c r="B153" t="s">
        <v>99</v>
      </c>
      <c r="D153">
        <v>4956</v>
      </c>
      <c r="I153" s="3" t="s">
        <v>69</v>
      </c>
      <c r="N153">
        <v>152</v>
      </c>
      <c r="V153">
        <f t="shared" ca="1" si="2"/>
        <v>4349</v>
      </c>
    </row>
    <row r="154" spans="1:22">
      <c r="A154" t="s">
        <v>117</v>
      </c>
      <c r="B154" t="s">
        <v>99</v>
      </c>
      <c r="D154">
        <v>1724</v>
      </c>
      <c r="I154" s="3" t="s">
        <v>95</v>
      </c>
      <c r="N154">
        <v>153</v>
      </c>
      <c r="V154">
        <f t="shared" ca="1" si="2"/>
        <v>5082</v>
      </c>
    </row>
    <row r="155" spans="1:22">
      <c r="A155" t="s">
        <v>117</v>
      </c>
      <c r="B155" t="s">
        <v>99</v>
      </c>
      <c r="D155">
        <v>171</v>
      </c>
      <c r="I155" s="3" t="s">
        <v>73</v>
      </c>
      <c r="N155">
        <v>154</v>
      </c>
      <c r="V155">
        <f t="shared" ca="1" si="2"/>
        <v>4917</v>
      </c>
    </row>
    <row r="156" spans="1:22">
      <c r="A156" t="s">
        <v>117</v>
      </c>
      <c r="B156" t="s">
        <v>99</v>
      </c>
      <c r="D156">
        <v>4654</v>
      </c>
      <c r="I156" s="3" t="s">
        <v>76</v>
      </c>
      <c r="N156">
        <v>155</v>
      </c>
      <c r="V156">
        <f t="shared" ca="1" si="2"/>
        <v>3732</v>
      </c>
    </row>
    <row r="157" spans="1:22">
      <c r="A157" t="s">
        <v>117</v>
      </c>
      <c r="B157" t="s">
        <v>99</v>
      </c>
      <c r="D157">
        <v>4079</v>
      </c>
      <c r="I157" s="3" t="s">
        <v>96</v>
      </c>
      <c r="N157">
        <v>156</v>
      </c>
      <c r="V157">
        <f t="shared" ca="1" si="2"/>
        <v>647</v>
      </c>
    </row>
    <row r="158" spans="1:22">
      <c r="A158" t="s">
        <v>117</v>
      </c>
      <c r="B158" t="s">
        <v>99</v>
      </c>
      <c r="D158">
        <v>3069</v>
      </c>
      <c r="I158" s="3" t="s">
        <v>81</v>
      </c>
      <c r="N158">
        <v>157</v>
      </c>
      <c r="V158">
        <f t="shared" ca="1" si="2"/>
        <v>3760</v>
      </c>
    </row>
    <row r="159" spans="1:22">
      <c r="A159" t="s">
        <v>117</v>
      </c>
      <c r="B159" t="s">
        <v>99</v>
      </c>
      <c r="D159">
        <v>4247</v>
      </c>
      <c r="I159" s="3" t="s">
        <v>97</v>
      </c>
      <c r="N159">
        <v>158</v>
      </c>
      <c r="V159">
        <f t="shared" ca="1" si="2"/>
        <v>2161</v>
      </c>
    </row>
    <row r="160" spans="1:22">
      <c r="A160" t="s">
        <v>117</v>
      </c>
      <c r="B160" t="s">
        <v>99</v>
      </c>
      <c r="D160">
        <v>3642</v>
      </c>
      <c r="I160" s="3" t="s">
        <v>84</v>
      </c>
      <c r="N160">
        <v>159</v>
      </c>
      <c r="V160">
        <f t="shared" ca="1" si="2"/>
        <v>4258</v>
      </c>
    </row>
    <row r="161" spans="1:22">
      <c r="A161" t="s">
        <v>120</v>
      </c>
      <c r="B161" t="s">
        <v>121</v>
      </c>
      <c r="D161">
        <v>4739</v>
      </c>
      <c r="I161" s="4" t="s">
        <v>16</v>
      </c>
      <c r="N161">
        <v>160</v>
      </c>
      <c r="V161">
        <f t="shared" ca="1" si="2"/>
        <v>3610</v>
      </c>
    </row>
    <row r="162" spans="1:22">
      <c r="A162" t="s">
        <v>120</v>
      </c>
      <c r="B162" t="s">
        <v>121</v>
      </c>
      <c r="D162">
        <v>1315</v>
      </c>
      <c r="I162" s="4" t="s">
        <v>18</v>
      </c>
      <c r="N162">
        <v>161</v>
      </c>
      <c r="V162">
        <f t="shared" ca="1" si="2"/>
        <v>5227</v>
      </c>
    </row>
    <row r="163" spans="1:22">
      <c r="A163" t="s">
        <v>120</v>
      </c>
      <c r="B163" t="s">
        <v>121</v>
      </c>
      <c r="D163">
        <v>2165</v>
      </c>
      <c r="I163" s="4" t="s">
        <v>20</v>
      </c>
      <c r="N163">
        <v>162</v>
      </c>
      <c r="V163">
        <f t="shared" ca="1" si="2"/>
        <v>4770</v>
      </c>
    </row>
    <row r="164" spans="1:22">
      <c r="A164" t="s">
        <v>120</v>
      </c>
      <c r="B164" t="s">
        <v>121</v>
      </c>
      <c r="D164">
        <v>204</v>
      </c>
      <c r="I164" s="4" t="s">
        <v>21</v>
      </c>
      <c r="N164">
        <v>163</v>
      </c>
      <c r="V164">
        <f t="shared" ca="1" si="2"/>
        <v>5023</v>
      </c>
    </row>
    <row r="165" spans="1:22">
      <c r="A165" t="s">
        <v>120</v>
      </c>
      <c r="B165" t="s">
        <v>121</v>
      </c>
      <c r="D165">
        <v>5184</v>
      </c>
      <c r="I165" s="4" t="s">
        <v>122</v>
      </c>
      <c r="N165">
        <v>164</v>
      </c>
      <c r="V165">
        <f t="shared" ca="1" si="2"/>
        <v>1466</v>
      </c>
    </row>
    <row r="166" spans="1:22">
      <c r="A166" t="s">
        <v>120</v>
      </c>
      <c r="B166" t="s">
        <v>121</v>
      </c>
      <c r="D166">
        <v>4665</v>
      </c>
      <c r="I166" s="4" t="s">
        <v>123</v>
      </c>
      <c r="N166">
        <v>165</v>
      </c>
      <c r="V166">
        <f t="shared" ca="1" si="2"/>
        <v>3353</v>
      </c>
    </row>
    <row r="167" spans="1:22">
      <c r="A167" t="s">
        <v>120</v>
      </c>
      <c r="B167" t="s">
        <v>121</v>
      </c>
      <c r="D167">
        <v>4247</v>
      </c>
      <c r="I167" s="4" t="s">
        <v>27</v>
      </c>
      <c r="N167">
        <v>166</v>
      </c>
      <c r="V167">
        <f t="shared" ca="1" si="2"/>
        <v>4041</v>
      </c>
    </row>
    <row r="168" spans="1:22">
      <c r="A168" t="s">
        <v>120</v>
      </c>
      <c r="B168" t="s">
        <v>121</v>
      </c>
      <c r="D168">
        <v>4067</v>
      </c>
      <c r="I168" s="4" t="s">
        <v>30</v>
      </c>
      <c r="N168">
        <v>167</v>
      </c>
      <c r="V168">
        <f t="shared" ca="1" si="2"/>
        <v>4324</v>
      </c>
    </row>
    <row r="169" spans="1:22">
      <c r="A169" t="s">
        <v>120</v>
      </c>
      <c r="B169" t="s">
        <v>121</v>
      </c>
      <c r="D169">
        <v>4689</v>
      </c>
      <c r="I169" s="4" t="s">
        <v>32</v>
      </c>
      <c r="N169">
        <v>168</v>
      </c>
      <c r="V169">
        <f t="shared" ca="1" si="2"/>
        <v>2122</v>
      </c>
    </row>
    <row r="170" spans="1:22">
      <c r="A170" t="s">
        <v>120</v>
      </c>
      <c r="B170" t="s">
        <v>121</v>
      </c>
      <c r="D170">
        <v>3970</v>
      </c>
      <c r="I170" s="4" t="s">
        <v>41</v>
      </c>
      <c r="N170">
        <v>169</v>
      </c>
      <c r="V170">
        <f t="shared" ca="1" si="2"/>
        <v>143</v>
      </c>
    </row>
    <row r="171" spans="1:22">
      <c r="A171" t="s">
        <v>120</v>
      </c>
      <c r="B171" t="s">
        <v>121</v>
      </c>
      <c r="D171">
        <v>4630</v>
      </c>
      <c r="I171" s="4" t="s">
        <v>48</v>
      </c>
      <c r="N171">
        <v>170</v>
      </c>
      <c r="V171">
        <f t="shared" ca="1" si="2"/>
        <v>70</v>
      </c>
    </row>
    <row r="172" spans="1:22">
      <c r="A172" t="s">
        <v>120</v>
      </c>
      <c r="B172" t="s">
        <v>121</v>
      </c>
      <c r="D172">
        <v>3216</v>
      </c>
      <c r="I172" s="4" t="s">
        <v>53</v>
      </c>
      <c r="N172">
        <v>171</v>
      </c>
      <c r="V172">
        <f t="shared" ca="1" si="2"/>
        <v>1456</v>
      </c>
    </row>
    <row r="173" spans="1:22">
      <c r="A173" t="s">
        <v>120</v>
      </c>
      <c r="B173" t="s">
        <v>121</v>
      </c>
      <c r="D173">
        <v>2910</v>
      </c>
      <c r="I173" s="4" t="s">
        <v>59</v>
      </c>
      <c r="N173">
        <v>172</v>
      </c>
      <c r="V173">
        <f t="shared" ca="1" si="2"/>
        <v>2674</v>
      </c>
    </row>
    <row r="174" spans="1:22">
      <c r="A174" t="s">
        <v>120</v>
      </c>
      <c r="B174" t="s">
        <v>121</v>
      </c>
      <c r="D174">
        <v>4594</v>
      </c>
      <c r="I174" s="4" t="s">
        <v>63</v>
      </c>
      <c r="N174">
        <v>173</v>
      </c>
      <c r="V174">
        <f t="shared" ca="1" si="2"/>
        <v>4882</v>
      </c>
    </row>
    <row r="175" spans="1:22">
      <c r="A175" t="s">
        <v>120</v>
      </c>
      <c r="B175" t="s">
        <v>121</v>
      </c>
      <c r="D175">
        <v>1757</v>
      </c>
      <c r="I175" s="4" t="s">
        <v>66</v>
      </c>
      <c r="N175">
        <v>174</v>
      </c>
      <c r="V175">
        <f t="shared" ca="1" si="2"/>
        <v>5291</v>
      </c>
    </row>
    <row r="176" spans="1:22">
      <c r="A176" t="s">
        <v>124</v>
      </c>
      <c r="B176" t="s">
        <v>125</v>
      </c>
      <c r="D176">
        <v>4492</v>
      </c>
      <c r="I176" s="6" t="s">
        <v>16</v>
      </c>
      <c r="N176">
        <v>175</v>
      </c>
      <c r="V176">
        <f t="shared" ca="1" si="2"/>
        <v>3410</v>
      </c>
    </row>
    <row r="177" spans="1:22">
      <c r="A177" t="s">
        <v>124</v>
      </c>
      <c r="B177" t="s">
        <v>125</v>
      </c>
      <c r="D177">
        <v>964</v>
      </c>
      <c r="I177" s="6" t="s">
        <v>18</v>
      </c>
      <c r="N177">
        <v>176</v>
      </c>
      <c r="V177">
        <f t="shared" ca="1" si="2"/>
        <v>2951</v>
      </c>
    </row>
    <row r="178" spans="1:22">
      <c r="A178" t="s">
        <v>124</v>
      </c>
      <c r="B178" t="s">
        <v>125</v>
      </c>
      <c r="D178">
        <v>4341</v>
      </c>
      <c r="I178" s="6" t="s">
        <v>20</v>
      </c>
      <c r="N178">
        <v>177</v>
      </c>
      <c r="V178">
        <f t="shared" ca="1" si="2"/>
        <v>2364</v>
      </c>
    </row>
    <row r="179" spans="1:22">
      <c r="A179" t="s">
        <v>124</v>
      </c>
      <c r="B179" t="s">
        <v>125</v>
      </c>
      <c r="D179">
        <v>862</v>
      </c>
      <c r="I179" s="6" t="s">
        <v>21</v>
      </c>
      <c r="N179">
        <v>178</v>
      </c>
      <c r="V179">
        <f t="shared" ca="1" si="2"/>
        <v>2739</v>
      </c>
    </row>
    <row r="180" spans="1:22">
      <c r="A180" t="s">
        <v>124</v>
      </c>
      <c r="B180" t="s">
        <v>125</v>
      </c>
      <c r="D180">
        <v>2389</v>
      </c>
      <c r="I180" s="6" t="s">
        <v>126</v>
      </c>
      <c r="N180">
        <v>179</v>
      </c>
      <c r="V180">
        <f t="shared" ca="1" si="2"/>
        <v>1308</v>
      </c>
    </row>
    <row r="181" spans="1:22">
      <c r="A181" t="s">
        <v>124</v>
      </c>
      <c r="B181" t="s">
        <v>125</v>
      </c>
      <c r="D181">
        <v>1297</v>
      </c>
      <c r="I181" s="6" t="s">
        <v>127</v>
      </c>
      <c r="N181">
        <v>180</v>
      </c>
      <c r="V181">
        <f t="shared" ca="1" si="2"/>
        <v>3875</v>
      </c>
    </row>
    <row r="182" spans="1:22">
      <c r="A182" t="s">
        <v>124</v>
      </c>
      <c r="B182" t="s">
        <v>125</v>
      </c>
      <c r="D182">
        <v>5119</v>
      </c>
      <c r="I182" s="6" t="s">
        <v>27</v>
      </c>
      <c r="N182">
        <v>181</v>
      </c>
      <c r="V182">
        <f t="shared" ca="1" si="2"/>
        <v>799</v>
      </c>
    </row>
    <row r="183" spans="1:22">
      <c r="A183" t="s">
        <v>124</v>
      </c>
      <c r="B183" t="s">
        <v>125</v>
      </c>
      <c r="D183">
        <v>3084</v>
      </c>
      <c r="I183" s="6" t="s">
        <v>30</v>
      </c>
      <c r="N183">
        <v>182</v>
      </c>
      <c r="V183">
        <f t="shared" ca="1" si="2"/>
        <v>2466</v>
      </c>
    </row>
    <row r="184" spans="1:22">
      <c r="A184" t="s">
        <v>124</v>
      </c>
      <c r="B184" t="s">
        <v>125</v>
      </c>
      <c r="D184">
        <v>3203</v>
      </c>
      <c r="I184" s="6" t="s">
        <v>32</v>
      </c>
      <c r="N184">
        <v>183</v>
      </c>
      <c r="V184">
        <f t="shared" ca="1" si="2"/>
        <v>4406</v>
      </c>
    </row>
    <row r="185" spans="1:22">
      <c r="A185" t="s">
        <v>124</v>
      </c>
      <c r="B185" t="s">
        <v>125</v>
      </c>
      <c r="D185">
        <v>4145</v>
      </c>
      <c r="I185" s="6" t="s">
        <v>41</v>
      </c>
      <c r="N185">
        <v>184</v>
      </c>
      <c r="V185">
        <f t="shared" ca="1" si="2"/>
        <v>698</v>
      </c>
    </row>
    <row r="186" spans="1:22">
      <c r="A186" t="s">
        <v>124</v>
      </c>
      <c r="B186" t="s">
        <v>125</v>
      </c>
      <c r="D186">
        <v>3637</v>
      </c>
      <c r="I186" s="6" t="s">
        <v>48</v>
      </c>
      <c r="N186">
        <v>185</v>
      </c>
      <c r="V186">
        <f t="shared" ca="1" si="2"/>
        <v>2492</v>
      </c>
    </row>
    <row r="187" spans="1:22">
      <c r="A187" t="s">
        <v>124</v>
      </c>
      <c r="B187" t="s">
        <v>125</v>
      </c>
      <c r="D187">
        <v>3086</v>
      </c>
      <c r="I187" s="6" t="s">
        <v>53</v>
      </c>
      <c r="N187">
        <v>186</v>
      </c>
      <c r="V187">
        <f t="shared" ca="1" si="2"/>
        <v>3863</v>
      </c>
    </row>
    <row r="188" spans="1:22">
      <c r="A188" t="s">
        <v>124</v>
      </c>
      <c r="B188" t="s">
        <v>125</v>
      </c>
      <c r="D188">
        <v>314</v>
      </c>
      <c r="I188" s="6" t="s">
        <v>59</v>
      </c>
      <c r="N188">
        <v>187</v>
      </c>
      <c r="V188">
        <f t="shared" ca="1" si="2"/>
        <v>3149</v>
      </c>
    </row>
    <row r="189" spans="1:22">
      <c r="A189" t="s">
        <v>124</v>
      </c>
      <c r="B189" t="s">
        <v>125</v>
      </c>
      <c r="D189">
        <v>2815</v>
      </c>
      <c r="I189" s="6" t="s">
        <v>63</v>
      </c>
      <c r="N189">
        <v>188</v>
      </c>
      <c r="V189">
        <f t="shared" ca="1" si="2"/>
        <v>2982</v>
      </c>
    </row>
    <row r="190" spans="1:22">
      <c r="A190" t="s">
        <v>124</v>
      </c>
      <c r="B190" t="s">
        <v>125</v>
      </c>
      <c r="D190">
        <v>3773</v>
      </c>
      <c r="I190" s="6" t="s">
        <v>66</v>
      </c>
      <c r="N190">
        <v>189</v>
      </c>
      <c r="V190">
        <f t="shared" ca="1" si="2"/>
        <v>3186</v>
      </c>
    </row>
    <row r="191" spans="1:22">
      <c r="A191" t="s">
        <v>124</v>
      </c>
      <c r="B191" t="s">
        <v>125</v>
      </c>
      <c r="D191">
        <v>1786</v>
      </c>
      <c r="I191" s="6" t="s">
        <v>103</v>
      </c>
      <c r="N191">
        <v>190</v>
      </c>
      <c r="V191">
        <f t="shared" ca="1" si="2"/>
        <v>3177</v>
      </c>
    </row>
    <row r="192" spans="1:22">
      <c r="A192" t="s">
        <v>124</v>
      </c>
      <c r="B192" t="s">
        <v>125</v>
      </c>
      <c r="D192">
        <v>631</v>
      </c>
      <c r="I192" s="6" t="s">
        <v>95</v>
      </c>
      <c r="N192">
        <v>191</v>
      </c>
      <c r="V192">
        <f t="shared" ca="1" si="2"/>
        <v>4711</v>
      </c>
    </row>
    <row r="193" spans="1:22">
      <c r="A193" t="s">
        <v>124</v>
      </c>
      <c r="B193" t="s">
        <v>125</v>
      </c>
      <c r="D193">
        <v>4055</v>
      </c>
      <c r="I193" s="6" t="s">
        <v>104</v>
      </c>
      <c r="N193">
        <v>192</v>
      </c>
      <c r="V193">
        <f t="shared" ca="1" si="2"/>
        <v>5034</v>
      </c>
    </row>
    <row r="194" spans="1:22">
      <c r="A194" t="s">
        <v>124</v>
      </c>
      <c r="B194" t="s">
        <v>125</v>
      </c>
      <c r="D194">
        <v>1664</v>
      </c>
      <c r="I194" s="6" t="s">
        <v>76</v>
      </c>
      <c r="N194">
        <v>193</v>
      </c>
      <c r="V194">
        <f t="shared" ca="1" si="2"/>
        <v>2127</v>
      </c>
    </row>
    <row r="195" spans="1:22">
      <c r="A195" t="s">
        <v>124</v>
      </c>
      <c r="B195" t="s">
        <v>125</v>
      </c>
      <c r="D195">
        <v>732</v>
      </c>
      <c r="I195" s="6" t="s">
        <v>96</v>
      </c>
      <c r="N195">
        <v>194</v>
      </c>
      <c r="V195">
        <f t="shared" ca="1" si="2"/>
        <v>4688</v>
      </c>
    </row>
    <row r="196" spans="1:22">
      <c r="A196" t="s">
        <v>124</v>
      </c>
      <c r="B196" t="s">
        <v>125</v>
      </c>
      <c r="D196">
        <v>2166</v>
      </c>
      <c r="I196" s="6" t="s">
        <v>81</v>
      </c>
      <c r="N196">
        <v>195</v>
      </c>
      <c r="V196">
        <f t="shared" ca="1" si="2"/>
        <v>848</v>
      </c>
    </row>
    <row r="197" spans="1:22">
      <c r="A197" t="s">
        <v>124</v>
      </c>
      <c r="B197" t="s">
        <v>125</v>
      </c>
      <c r="D197">
        <v>4560</v>
      </c>
      <c r="I197" s="6" t="s">
        <v>97</v>
      </c>
      <c r="N197">
        <v>196</v>
      </c>
      <c r="V197">
        <f t="shared" ca="1" si="2"/>
        <v>1538</v>
      </c>
    </row>
    <row r="198" spans="1:22">
      <c r="A198" t="s">
        <v>124</v>
      </c>
      <c r="B198" t="s">
        <v>125</v>
      </c>
      <c r="D198">
        <v>2325</v>
      </c>
      <c r="I198" s="6" t="s">
        <v>84</v>
      </c>
      <c r="N198">
        <v>197</v>
      </c>
      <c r="V198">
        <f t="shared" ca="1" si="2"/>
        <v>1416</v>
      </c>
    </row>
    <row r="199" spans="1:22">
      <c r="A199" t="s">
        <v>124</v>
      </c>
      <c r="B199" t="s">
        <v>125</v>
      </c>
      <c r="D199">
        <v>1913</v>
      </c>
      <c r="I199" s="6" t="s">
        <v>87</v>
      </c>
      <c r="N199">
        <v>198</v>
      </c>
      <c r="V199">
        <f t="shared" ref="V199:V220" ca="1" si="3">RANDBETWEEN(1, 5342)</f>
        <v>5188</v>
      </c>
    </row>
    <row r="200" spans="1:22">
      <c r="A200" t="s">
        <v>128</v>
      </c>
      <c r="B200" t="s">
        <v>121</v>
      </c>
      <c r="D200">
        <v>3293</v>
      </c>
      <c r="I200" s="3" t="s">
        <v>16</v>
      </c>
      <c r="N200">
        <v>199</v>
      </c>
      <c r="V200">
        <f t="shared" ca="1" si="3"/>
        <v>3314</v>
      </c>
    </row>
    <row r="201" spans="1:22">
      <c r="A201" t="s">
        <v>128</v>
      </c>
      <c r="B201" t="s">
        <v>121</v>
      </c>
      <c r="D201">
        <v>10</v>
      </c>
      <c r="I201" s="3" t="s">
        <v>18</v>
      </c>
      <c r="N201">
        <v>200</v>
      </c>
      <c r="V201">
        <f t="shared" ca="1" si="3"/>
        <v>1195</v>
      </c>
    </row>
    <row r="202" spans="1:22">
      <c r="A202" t="s">
        <v>128</v>
      </c>
      <c r="B202" t="s">
        <v>121</v>
      </c>
      <c r="D202">
        <v>5071</v>
      </c>
      <c r="I202" s="3" t="s">
        <v>20</v>
      </c>
      <c r="N202">
        <v>201</v>
      </c>
      <c r="V202">
        <f t="shared" ca="1" si="3"/>
        <v>1927</v>
      </c>
    </row>
    <row r="203" spans="1:22">
      <c r="A203" t="s">
        <v>128</v>
      </c>
      <c r="B203" t="s">
        <v>121</v>
      </c>
      <c r="D203">
        <v>2358</v>
      </c>
      <c r="I203" s="3" t="s">
        <v>21</v>
      </c>
      <c r="N203">
        <v>202</v>
      </c>
      <c r="V203">
        <f t="shared" ca="1" si="3"/>
        <v>1940</v>
      </c>
    </row>
    <row r="204" spans="1:22">
      <c r="A204" t="s">
        <v>128</v>
      </c>
      <c r="B204" t="s">
        <v>121</v>
      </c>
      <c r="D204">
        <v>2788</v>
      </c>
      <c r="I204" s="3" t="s">
        <v>129</v>
      </c>
      <c r="N204">
        <v>203</v>
      </c>
      <c r="V204">
        <f t="shared" ca="1" si="3"/>
        <v>2529</v>
      </c>
    </row>
    <row r="205" spans="1:22">
      <c r="A205" t="s">
        <v>128</v>
      </c>
      <c r="B205" t="s">
        <v>121</v>
      </c>
      <c r="D205">
        <v>774</v>
      </c>
      <c r="I205" s="3" t="s">
        <v>130</v>
      </c>
      <c r="N205">
        <v>204</v>
      </c>
      <c r="V205">
        <f t="shared" ca="1" si="3"/>
        <v>4768</v>
      </c>
    </row>
    <row r="206" spans="1:22">
      <c r="A206" t="s">
        <v>128</v>
      </c>
      <c r="B206" t="s">
        <v>121</v>
      </c>
      <c r="D206">
        <v>471</v>
      </c>
      <c r="I206" s="3" t="s">
        <v>27</v>
      </c>
      <c r="N206">
        <v>205</v>
      </c>
      <c r="V206">
        <f t="shared" ca="1" si="3"/>
        <v>2645</v>
      </c>
    </row>
    <row r="207" spans="1:22">
      <c r="A207" t="s">
        <v>128</v>
      </c>
      <c r="B207" t="s">
        <v>121</v>
      </c>
      <c r="D207">
        <v>3255</v>
      </c>
      <c r="I207" s="3" t="s">
        <v>30</v>
      </c>
      <c r="N207">
        <v>206</v>
      </c>
      <c r="V207">
        <f t="shared" ca="1" si="3"/>
        <v>1859</v>
      </c>
    </row>
    <row r="208" spans="1:22">
      <c r="A208" t="s">
        <v>128</v>
      </c>
      <c r="B208" t="s">
        <v>121</v>
      </c>
      <c r="D208">
        <v>934</v>
      </c>
      <c r="I208" s="3" t="s">
        <v>32</v>
      </c>
      <c r="N208">
        <v>207</v>
      </c>
      <c r="V208">
        <f t="shared" ca="1" si="3"/>
        <v>3456</v>
      </c>
    </row>
    <row r="209" spans="1:22">
      <c r="A209" t="s">
        <v>128</v>
      </c>
      <c r="B209" t="s">
        <v>121</v>
      </c>
      <c r="D209">
        <v>518</v>
      </c>
      <c r="I209" s="3" t="s">
        <v>41</v>
      </c>
      <c r="N209">
        <v>208</v>
      </c>
      <c r="V209">
        <f t="shared" ca="1" si="3"/>
        <v>4899</v>
      </c>
    </row>
    <row r="210" spans="1:22">
      <c r="A210" t="s">
        <v>128</v>
      </c>
      <c r="B210" t="s">
        <v>121</v>
      </c>
      <c r="D210">
        <v>3657</v>
      </c>
      <c r="I210" s="3" t="s">
        <v>48</v>
      </c>
      <c r="N210">
        <v>209</v>
      </c>
      <c r="V210">
        <f t="shared" ca="1" si="3"/>
        <v>1205</v>
      </c>
    </row>
    <row r="211" spans="1:22">
      <c r="A211" t="s">
        <v>128</v>
      </c>
      <c r="B211" t="s">
        <v>121</v>
      </c>
      <c r="D211">
        <v>1025</v>
      </c>
      <c r="I211" s="3" t="s">
        <v>53</v>
      </c>
      <c r="N211">
        <v>210</v>
      </c>
      <c r="V211">
        <f t="shared" ca="1" si="3"/>
        <v>2619</v>
      </c>
    </row>
    <row r="212" spans="1:22">
      <c r="A212" t="s">
        <v>128</v>
      </c>
      <c r="B212" t="s">
        <v>121</v>
      </c>
      <c r="D212">
        <v>1156</v>
      </c>
      <c r="I212" s="3" t="s">
        <v>59</v>
      </c>
      <c r="N212">
        <v>211</v>
      </c>
      <c r="V212">
        <f t="shared" ca="1" si="3"/>
        <v>2921</v>
      </c>
    </row>
    <row r="213" spans="1:22">
      <c r="A213" t="s">
        <v>128</v>
      </c>
      <c r="B213" t="s">
        <v>121</v>
      </c>
      <c r="D213">
        <v>2145</v>
      </c>
      <c r="I213" s="3" t="s">
        <v>73</v>
      </c>
      <c r="N213">
        <v>212</v>
      </c>
      <c r="V213">
        <f t="shared" ca="1" si="3"/>
        <v>760</v>
      </c>
    </row>
    <row r="214" spans="1:22">
      <c r="A214" t="s">
        <v>128</v>
      </c>
      <c r="B214" t="s">
        <v>121</v>
      </c>
      <c r="D214">
        <v>4202</v>
      </c>
      <c r="I214" s="3" t="s">
        <v>76</v>
      </c>
      <c r="N214">
        <v>213</v>
      </c>
      <c r="V214">
        <f t="shared" ca="1" si="3"/>
        <v>3470</v>
      </c>
    </row>
    <row r="215" spans="1:22">
      <c r="A215" t="s">
        <v>128</v>
      </c>
      <c r="B215" t="s">
        <v>121</v>
      </c>
      <c r="D215">
        <v>485</v>
      </c>
      <c r="I215" s="3" t="s">
        <v>96</v>
      </c>
      <c r="N215">
        <v>214</v>
      </c>
      <c r="V215">
        <f t="shared" ca="1" si="3"/>
        <v>2607</v>
      </c>
    </row>
    <row r="216" spans="1:22">
      <c r="A216" t="s">
        <v>128</v>
      </c>
      <c r="B216" t="s">
        <v>121</v>
      </c>
      <c r="D216">
        <v>705</v>
      </c>
      <c r="I216" s="3" t="s">
        <v>81</v>
      </c>
      <c r="N216">
        <v>215</v>
      </c>
      <c r="V216">
        <f t="shared" ca="1" si="3"/>
        <v>5204</v>
      </c>
    </row>
    <row r="217" spans="1:22">
      <c r="A217" t="s">
        <v>128</v>
      </c>
      <c r="B217" t="s">
        <v>121</v>
      </c>
      <c r="D217">
        <v>421</v>
      </c>
      <c r="I217" s="3" t="s">
        <v>97</v>
      </c>
      <c r="N217">
        <v>216</v>
      </c>
      <c r="V217">
        <f t="shared" ca="1" si="3"/>
        <v>1513</v>
      </c>
    </row>
    <row r="218" spans="1:22">
      <c r="A218" t="s">
        <v>128</v>
      </c>
      <c r="B218" t="s">
        <v>121</v>
      </c>
      <c r="D218">
        <v>67</v>
      </c>
      <c r="I218" s="3" t="s">
        <v>87</v>
      </c>
      <c r="N218">
        <v>217</v>
      </c>
      <c r="V218">
        <f t="shared" ca="1" si="3"/>
        <v>2326</v>
      </c>
    </row>
    <row r="219" spans="1:22">
      <c r="V219">
        <f t="shared" ca="1" si="3"/>
        <v>4072</v>
      </c>
    </row>
    <row r="220" spans="1:22">
      <c r="V220">
        <f t="shared" ca="1" si="3"/>
        <v>2805</v>
      </c>
    </row>
    <row r="222" spans="1:22">
      <c r="D222" t="s">
        <v>131</v>
      </c>
    </row>
    <row r="227" spans="14:14">
      <c r="N227" t="s">
        <v>132</v>
      </c>
    </row>
  </sheetData>
  <autoFilter ref="A1:N220"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AF5B7-774A-4283-9990-F73935CFAA75}">
  <dimension ref="B4:H12"/>
  <sheetViews>
    <sheetView workbookViewId="0">
      <selection activeCell="E7" sqref="E7"/>
    </sheetView>
  </sheetViews>
  <sheetFormatPr defaultRowHeight="15"/>
  <cols>
    <col min="3" max="3" width="18" customWidth="1"/>
    <col min="5" max="5" width="20" customWidth="1"/>
    <col min="8" max="8" width="17.5703125" customWidth="1"/>
  </cols>
  <sheetData>
    <row r="4" spans="2:8">
      <c r="B4" t="s">
        <v>133</v>
      </c>
    </row>
    <row r="5" spans="2:8">
      <c r="B5" t="s">
        <v>134</v>
      </c>
    </row>
    <row r="6" spans="2:8">
      <c r="B6" t="s">
        <v>135</v>
      </c>
    </row>
    <row r="9" spans="2:8">
      <c r="B9" t="s">
        <v>136</v>
      </c>
      <c r="D9" t="s">
        <v>137</v>
      </c>
    </row>
    <row r="10" spans="2:8">
      <c r="B10" t="s">
        <v>138</v>
      </c>
    </row>
    <row r="11" spans="2:8">
      <c r="B11" t="s">
        <v>139</v>
      </c>
    </row>
    <row r="12" spans="2:8">
      <c r="B12" s="13"/>
      <c r="C12" t="s">
        <v>140</v>
      </c>
      <c r="E12" t="s">
        <v>141</v>
      </c>
      <c r="H12" t="s">
        <v>142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BA31-D577-BD45-9F43-E8DCAB559F0C}">
  <sheetPr>
    <tabColor theme="5"/>
  </sheetPr>
  <dimension ref="A1:L16"/>
  <sheetViews>
    <sheetView topLeftCell="A4" workbookViewId="0">
      <selection activeCell="E15" sqref="E15"/>
    </sheetView>
  </sheetViews>
  <sheetFormatPr defaultColWidth="11.42578125" defaultRowHeight="14.45"/>
  <cols>
    <col min="1" max="1" width="27.7109375" customWidth="1"/>
    <col min="3" max="7" width="10.85546875" style="15"/>
    <col min="8" max="8" width="52" style="16" bestFit="1" customWidth="1"/>
    <col min="9" max="9" width="57.7109375" customWidth="1"/>
    <col min="10" max="10" width="12.5703125" bestFit="1" customWidth="1"/>
    <col min="11" max="11" width="12.85546875" bestFit="1" customWidth="1"/>
    <col min="12" max="12" width="37.7109375" bestFit="1" customWidth="1"/>
  </cols>
  <sheetData>
    <row r="1" spans="1:12" ht="15">
      <c r="A1" s="19" t="s">
        <v>143</v>
      </c>
      <c r="B1" s="19" t="s">
        <v>144</v>
      </c>
      <c r="C1" s="22" t="s">
        <v>145</v>
      </c>
      <c r="D1" s="22" t="s">
        <v>146</v>
      </c>
      <c r="E1" s="22" t="s">
        <v>147</v>
      </c>
      <c r="F1" s="22" t="s">
        <v>148</v>
      </c>
      <c r="G1" s="22" t="s">
        <v>149</v>
      </c>
      <c r="H1" s="23" t="s">
        <v>150</v>
      </c>
      <c r="I1" s="19" t="s">
        <v>151</v>
      </c>
    </row>
    <row r="2" spans="1:12" ht="15">
      <c r="A2" s="18" t="s">
        <v>13</v>
      </c>
      <c r="B2" s="20" t="s">
        <v>152</v>
      </c>
      <c r="C2" s="21"/>
      <c r="D2" s="21"/>
      <c r="E2" s="21"/>
      <c r="F2" s="21"/>
      <c r="G2" s="21"/>
      <c r="H2" s="20" t="s">
        <v>153</v>
      </c>
      <c r="I2" s="18"/>
    </row>
    <row r="3" spans="1:12" ht="15">
      <c r="A3" t="s">
        <v>8</v>
      </c>
      <c r="B3" s="16" t="s">
        <v>152</v>
      </c>
      <c r="H3" s="16" t="s">
        <v>154</v>
      </c>
    </row>
    <row r="4" spans="1:12" ht="81" customHeight="1">
      <c r="A4" t="s">
        <v>2</v>
      </c>
      <c r="B4" s="16" t="s">
        <v>152</v>
      </c>
      <c r="H4" s="17" t="s">
        <v>155</v>
      </c>
    </row>
    <row r="5" spans="1:12" ht="57.75" customHeight="1">
      <c r="A5" t="s">
        <v>0</v>
      </c>
      <c r="B5" s="16" t="s">
        <v>152</v>
      </c>
      <c r="H5" s="16" t="s">
        <v>156</v>
      </c>
      <c r="I5" s="17" t="s">
        <v>157</v>
      </c>
    </row>
    <row r="6" spans="1:12" ht="15">
      <c r="A6" t="s">
        <v>158</v>
      </c>
      <c r="B6" s="15" t="s">
        <v>159</v>
      </c>
      <c r="H6" s="16" t="s">
        <v>160</v>
      </c>
    </row>
    <row r="7" spans="1:12" ht="15">
      <c r="A7" t="s">
        <v>1</v>
      </c>
      <c r="B7" s="16" t="s">
        <v>152</v>
      </c>
    </row>
    <row r="8" spans="1:12" ht="15">
      <c r="A8" t="s">
        <v>10</v>
      </c>
      <c r="B8" s="16" t="s">
        <v>152</v>
      </c>
      <c r="H8" s="16" t="s">
        <v>161</v>
      </c>
    </row>
    <row r="9" spans="1:12" ht="45.75">
      <c r="A9" t="s">
        <v>3</v>
      </c>
      <c r="B9" s="15" t="s">
        <v>159</v>
      </c>
      <c r="H9" s="17" t="s">
        <v>162</v>
      </c>
    </row>
    <row r="10" spans="1:12" ht="15">
      <c r="A10" t="s">
        <v>9</v>
      </c>
      <c r="B10" s="16" t="s">
        <v>152</v>
      </c>
      <c r="H10" s="16" t="s">
        <v>163</v>
      </c>
    </row>
    <row r="11" spans="1:12" ht="45.75">
      <c r="A11" t="s">
        <v>7</v>
      </c>
      <c r="B11" s="16" t="s">
        <v>152</v>
      </c>
      <c r="H11" s="17" t="s">
        <v>164</v>
      </c>
    </row>
    <row r="12" spans="1:12" ht="60.75">
      <c r="A12" t="s">
        <v>6</v>
      </c>
      <c r="B12" s="16" t="s">
        <v>152</v>
      </c>
      <c r="H12" s="17" t="s">
        <v>165</v>
      </c>
    </row>
    <row r="13" spans="1:12" ht="15">
      <c r="A13" t="s">
        <v>12</v>
      </c>
      <c r="B13" s="15" t="s">
        <v>159</v>
      </c>
      <c r="H13" s="16" t="s">
        <v>166</v>
      </c>
    </row>
    <row r="14" spans="1:12" ht="15">
      <c r="A14" t="s">
        <v>11</v>
      </c>
      <c r="B14" s="15" t="s">
        <v>159</v>
      </c>
      <c r="H14" s="16" t="s">
        <v>167</v>
      </c>
      <c r="I14" s="9" t="s">
        <v>34</v>
      </c>
      <c r="J14" s="10" t="s">
        <v>44</v>
      </c>
      <c r="K14" s="10" t="s">
        <v>50</v>
      </c>
      <c r="L14" s="10" t="s">
        <v>168</v>
      </c>
    </row>
    <row r="15" spans="1:12" ht="15">
      <c r="A15" t="s">
        <v>169</v>
      </c>
      <c r="B15" s="15" t="s">
        <v>159</v>
      </c>
      <c r="H15" s="16" t="s">
        <v>170</v>
      </c>
    </row>
    <row r="16" spans="1:12" ht="15"/>
  </sheetData>
  <autoFilter ref="A2:L15" xr:uid="{E0A3BA31-D577-BD45-9F43-E8DCAB559F0C}"/>
  <sortState xmlns:xlrd2="http://schemas.microsoft.com/office/spreadsheetml/2017/richdata2" ref="A2:XFD1048575">
    <sortCondition descending="1" ref="A2:A104857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4A649-45E3-4E4E-A3A6-1FB4E42E143B}">
  <dimension ref="A1:F33"/>
  <sheetViews>
    <sheetView workbookViewId="0">
      <selection activeCell="F8" sqref="F8"/>
    </sheetView>
  </sheetViews>
  <sheetFormatPr defaultColWidth="8.85546875" defaultRowHeight="14.45"/>
  <cols>
    <col min="1" max="1" width="35.42578125" customWidth="1"/>
    <col min="2" max="2" width="16.140625" customWidth="1"/>
    <col min="3" max="3" width="37.7109375" bestFit="1" customWidth="1"/>
    <col min="4" max="4" width="23.28515625" bestFit="1" customWidth="1"/>
  </cols>
  <sheetData>
    <row r="1" spans="1:6" ht="15.6">
      <c r="A1" s="1" t="s">
        <v>144</v>
      </c>
      <c r="B1" s="1" t="s">
        <v>8</v>
      </c>
      <c r="C1" s="11" t="s">
        <v>11</v>
      </c>
      <c r="D1" s="1" t="s">
        <v>13</v>
      </c>
    </row>
    <row r="2" spans="1:6">
      <c r="A2" t="s">
        <v>171</v>
      </c>
      <c r="D2">
        <v>1</v>
      </c>
    </row>
    <row r="3" spans="1:6">
      <c r="A3" t="s">
        <v>172</v>
      </c>
      <c r="D3">
        <v>1</v>
      </c>
    </row>
    <row r="4" spans="1:6">
      <c r="A4" t="s">
        <v>173</v>
      </c>
      <c r="D4">
        <v>1</v>
      </c>
    </row>
    <row r="5" spans="1:6">
      <c r="A5" t="s">
        <v>174</v>
      </c>
      <c r="D5">
        <v>1</v>
      </c>
    </row>
    <row r="6" spans="1:6">
      <c r="A6" t="s">
        <v>175</v>
      </c>
      <c r="D6">
        <v>1</v>
      </c>
    </row>
    <row r="7" spans="1:6">
      <c r="A7" t="s">
        <v>176</v>
      </c>
      <c r="D7">
        <v>1</v>
      </c>
      <c r="F7" t="s">
        <v>177</v>
      </c>
    </row>
    <row r="8" spans="1:6">
      <c r="A8" t="s">
        <v>178</v>
      </c>
      <c r="D8">
        <v>1</v>
      </c>
    </row>
    <row r="9" spans="1:6">
      <c r="A9" t="s">
        <v>179</v>
      </c>
      <c r="D9">
        <v>1</v>
      </c>
    </row>
    <row r="10" spans="1:6">
      <c r="A10" t="s">
        <v>180</v>
      </c>
      <c r="D10">
        <v>1</v>
      </c>
    </row>
    <row r="11" spans="1:6">
      <c r="A11" t="s">
        <v>181</v>
      </c>
      <c r="D11">
        <v>1</v>
      </c>
    </row>
    <row r="12" spans="1:6">
      <c r="A12" t="s">
        <v>182</v>
      </c>
      <c r="D12">
        <v>1</v>
      </c>
    </row>
    <row r="13" spans="1:6">
      <c r="A13" t="s">
        <v>183</v>
      </c>
      <c r="D13">
        <v>1</v>
      </c>
    </row>
    <row r="14" spans="1:6">
      <c r="A14" t="s">
        <v>184</v>
      </c>
      <c r="D14">
        <v>1</v>
      </c>
    </row>
    <row r="15" spans="1:6">
      <c r="A15" t="s">
        <v>185</v>
      </c>
      <c r="D15">
        <v>1</v>
      </c>
    </row>
    <row r="16" spans="1:6">
      <c r="A16" t="s">
        <v>186</v>
      </c>
      <c r="D16">
        <v>1</v>
      </c>
    </row>
    <row r="17" spans="1:4">
      <c r="A17" t="s">
        <v>187</v>
      </c>
      <c r="D17">
        <v>1</v>
      </c>
    </row>
    <row r="18" spans="1:4">
      <c r="A18" t="s">
        <v>188</v>
      </c>
      <c r="D18">
        <v>1</v>
      </c>
    </row>
    <row r="19" spans="1:4">
      <c r="A19" t="s">
        <v>189</v>
      </c>
      <c r="D19">
        <v>1</v>
      </c>
    </row>
    <row r="20" spans="1:4">
      <c r="A20" t="s">
        <v>190</v>
      </c>
      <c r="D20">
        <v>1</v>
      </c>
    </row>
    <row r="21" spans="1:4">
      <c r="A21" t="s">
        <v>148</v>
      </c>
      <c r="D21">
        <v>1</v>
      </c>
    </row>
    <row r="22" spans="1:4">
      <c r="A22" t="s">
        <v>191</v>
      </c>
      <c r="D22">
        <v>1</v>
      </c>
    </row>
    <row r="27" spans="1:4" ht="15">
      <c r="C27" s="9" t="s">
        <v>34</v>
      </c>
      <c r="D27" t="s">
        <v>192</v>
      </c>
    </row>
    <row r="28" spans="1:4">
      <c r="C28" s="10" t="s">
        <v>44</v>
      </c>
    </row>
    <row r="29" spans="1:4">
      <c r="C29" s="10" t="s">
        <v>50</v>
      </c>
    </row>
    <row r="30" spans="1:4">
      <c r="C30" s="10" t="s">
        <v>168</v>
      </c>
    </row>
    <row r="33" spans="1:1">
      <c r="A33" t="s">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F3C72-8179-4B51-8946-7F6BFE57FBF6}">
  <dimension ref="A4:I42"/>
  <sheetViews>
    <sheetView workbookViewId="0">
      <selection activeCell="D16" sqref="D16"/>
    </sheetView>
  </sheetViews>
  <sheetFormatPr defaultColWidth="8.85546875" defaultRowHeight="14.45"/>
  <cols>
    <col min="2" max="2" width="32.28515625" customWidth="1"/>
    <col min="3" max="4" width="11.42578125" customWidth="1"/>
    <col min="5" max="5" width="14.85546875" bestFit="1" customWidth="1"/>
    <col min="6" max="6" width="20" customWidth="1"/>
    <col min="7" max="7" width="27.140625" customWidth="1"/>
    <col min="8" max="8" width="27.42578125" customWidth="1"/>
    <col min="9" max="9" width="14.85546875" bestFit="1" customWidth="1"/>
  </cols>
  <sheetData>
    <row r="4" spans="1:9">
      <c r="A4" t="s">
        <v>194</v>
      </c>
    </row>
    <row r="5" spans="1:9">
      <c r="B5" s="8" t="s">
        <v>195</v>
      </c>
      <c r="C5" s="8"/>
      <c r="D5" s="8"/>
      <c r="E5" s="8" t="s">
        <v>196</v>
      </c>
      <c r="F5" s="8"/>
      <c r="G5" s="8"/>
      <c r="H5" s="8" t="s">
        <v>197</v>
      </c>
      <c r="I5" s="8" t="s">
        <v>196</v>
      </c>
    </row>
    <row r="6" spans="1:9">
      <c r="A6">
        <v>1</v>
      </c>
      <c r="B6" t="s">
        <v>16</v>
      </c>
      <c r="D6" t="s">
        <v>17</v>
      </c>
      <c r="E6">
        <v>60</v>
      </c>
      <c r="G6" t="s">
        <v>198</v>
      </c>
      <c r="H6" t="s">
        <v>171</v>
      </c>
      <c r="I6">
        <v>60</v>
      </c>
    </row>
    <row r="7" spans="1:9">
      <c r="A7">
        <v>2</v>
      </c>
      <c r="B7" t="s">
        <v>18</v>
      </c>
      <c r="C7" t="s">
        <v>199</v>
      </c>
      <c r="D7" t="s">
        <v>19</v>
      </c>
      <c r="E7">
        <v>30</v>
      </c>
      <c r="G7" t="s">
        <v>200</v>
      </c>
      <c r="H7" t="s">
        <v>172</v>
      </c>
      <c r="I7">
        <v>60</v>
      </c>
    </row>
    <row r="8" spans="1:9">
      <c r="A8">
        <v>3</v>
      </c>
      <c r="B8" t="s">
        <v>20</v>
      </c>
      <c r="C8" t="s">
        <v>199</v>
      </c>
      <c r="D8" t="s">
        <v>17</v>
      </c>
      <c r="E8">
        <v>60</v>
      </c>
      <c r="G8" t="s">
        <v>198</v>
      </c>
      <c r="H8" t="s">
        <v>173</v>
      </c>
      <c r="I8">
        <v>50</v>
      </c>
    </row>
    <row r="9" spans="1:9">
      <c r="A9">
        <v>4</v>
      </c>
      <c r="B9" t="s">
        <v>21</v>
      </c>
      <c r="C9" t="s">
        <v>201</v>
      </c>
      <c r="D9" t="s">
        <v>17</v>
      </c>
      <c r="E9">
        <v>60</v>
      </c>
      <c r="G9" t="s">
        <v>198</v>
      </c>
      <c r="H9" t="s">
        <v>174</v>
      </c>
      <c r="I9">
        <v>40</v>
      </c>
    </row>
    <row r="10" spans="1:9">
      <c r="A10">
        <v>5</v>
      </c>
      <c r="B10" t="s">
        <v>22</v>
      </c>
      <c r="C10" t="s">
        <v>201</v>
      </c>
      <c r="D10" t="s">
        <v>23</v>
      </c>
      <c r="E10">
        <v>30</v>
      </c>
      <c r="G10" t="s">
        <v>198</v>
      </c>
      <c r="H10" t="s">
        <v>175</v>
      </c>
      <c r="I10">
        <v>20</v>
      </c>
    </row>
    <row r="11" spans="1:9">
      <c r="A11">
        <v>6</v>
      </c>
      <c r="B11" s="10" t="s">
        <v>24</v>
      </c>
      <c r="C11" t="s">
        <v>199</v>
      </c>
      <c r="D11" s="4" t="s">
        <v>25</v>
      </c>
      <c r="E11">
        <v>50</v>
      </c>
      <c r="G11" t="s">
        <v>202</v>
      </c>
      <c r="H11" t="s">
        <v>203</v>
      </c>
      <c r="I11">
        <v>30</v>
      </c>
    </row>
    <row r="12" spans="1:9">
      <c r="A12">
        <v>7</v>
      </c>
      <c r="B12" t="s">
        <v>27</v>
      </c>
      <c r="C12" t="s">
        <v>201</v>
      </c>
      <c r="D12" t="s">
        <v>23</v>
      </c>
      <c r="E12">
        <v>40</v>
      </c>
      <c r="G12" t="s">
        <v>204</v>
      </c>
      <c r="H12" t="s">
        <v>178</v>
      </c>
      <c r="I12">
        <v>40</v>
      </c>
    </row>
    <row r="13" spans="1:9">
      <c r="A13">
        <v>8</v>
      </c>
      <c r="B13" t="s">
        <v>30</v>
      </c>
      <c r="C13" t="s">
        <v>199</v>
      </c>
      <c r="D13" t="s">
        <v>23</v>
      </c>
      <c r="E13">
        <v>30</v>
      </c>
      <c r="H13" t="s">
        <v>179</v>
      </c>
      <c r="I13">
        <v>20</v>
      </c>
    </row>
    <row r="14" spans="1:9">
      <c r="A14">
        <v>9</v>
      </c>
      <c r="B14" s="10" t="s">
        <v>32</v>
      </c>
      <c r="C14" t="s">
        <v>199</v>
      </c>
      <c r="D14" s="4" t="s">
        <v>33</v>
      </c>
      <c r="E14">
        <v>30</v>
      </c>
      <c r="H14" t="s">
        <v>180</v>
      </c>
      <c r="I14">
        <v>10</v>
      </c>
    </row>
    <row r="15" spans="1:9">
      <c r="A15">
        <v>10</v>
      </c>
      <c r="B15" t="s">
        <v>41</v>
      </c>
      <c r="C15" t="s">
        <v>201</v>
      </c>
      <c r="D15" t="s">
        <v>42</v>
      </c>
      <c r="E15">
        <v>40</v>
      </c>
      <c r="H15" t="s">
        <v>181</v>
      </c>
      <c r="I15">
        <v>30</v>
      </c>
    </row>
    <row r="16" spans="1:9">
      <c r="A16">
        <v>11</v>
      </c>
      <c r="B16" t="s">
        <v>48</v>
      </c>
      <c r="C16" t="s">
        <v>199</v>
      </c>
      <c r="D16" t="s">
        <v>17</v>
      </c>
      <c r="E16">
        <v>40</v>
      </c>
      <c r="G16" t="s">
        <v>205</v>
      </c>
      <c r="H16" t="s">
        <v>206</v>
      </c>
      <c r="I16">
        <v>10</v>
      </c>
    </row>
    <row r="17" spans="1:9">
      <c r="A17">
        <v>12</v>
      </c>
      <c r="B17" t="s">
        <v>53</v>
      </c>
      <c r="C17" t="s">
        <v>201</v>
      </c>
      <c r="D17" t="s">
        <v>54</v>
      </c>
      <c r="E17">
        <v>20</v>
      </c>
      <c r="G17" t="s">
        <v>207</v>
      </c>
      <c r="H17" t="s">
        <v>183</v>
      </c>
      <c r="I17">
        <v>40</v>
      </c>
    </row>
    <row r="18" spans="1:9">
      <c r="A18">
        <v>13</v>
      </c>
      <c r="B18" t="s">
        <v>59</v>
      </c>
      <c r="C18" t="s">
        <v>199</v>
      </c>
      <c r="D18" t="s">
        <v>17</v>
      </c>
      <c r="E18">
        <v>50</v>
      </c>
      <c r="H18" t="s">
        <v>184</v>
      </c>
      <c r="I18">
        <v>30</v>
      </c>
    </row>
    <row r="19" spans="1:9">
      <c r="A19">
        <v>14</v>
      </c>
      <c r="B19" t="s">
        <v>63</v>
      </c>
      <c r="C19" t="s">
        <v>199</v>
      </c>
      <c r="D19" t="s">
        <v>17</v>
      </c>
      <c r="E19">
        <v>50</v>
      </c>
      <c r="G19" t="s">
        <v>208</v>
      </c>
      <c r="H19" t="s">
        <v>185</v>
      </c>
      <c r="I19">
        <v>40</v>
      </c>
    </row>
    <row r="20" spans="1:9">
      <c r="A20">
        <v>15</v>
      </c>
      <c r="B20" t="s">
        <v>66</v>
      </c>
      <c r="C20" t="s">
        <v>201</v>
      </c>
      <c r="D20" t="s">
        <v>23</v>
      </c>
      <c r="E20">
        <v>50</v>
      </c>
      <c r="G20" t="s">
        <v>207</v>
      </c>
      <c r="H20" t="s">
        <v>186</v>
      </c>
      <c r="I20">
        <v>20</v>
      </c>
    </row>
    <row r="21" spans="1:9">
      <c r="A21">
        <v>16</v>
      </c>
      <c r="B21" t="s">
        <v>69</v>
      </c>
      <c r="C21" t="s">
        <v>201</v>
      </c>
      <c r="D21" t="s">
        <v>42</v>
      </c>
      <c r="E21">
        <v>30</v>
      </c>
      <c r="G21" t="s">
        <v>208</v>
      </c>
      <c r="H21" t="s">
        <v>187</v>
      </c>
      <c r="I21">
        <v>10</v>
      </c>
    </row>
    <row r="22" spans="1:9">
      <c r="A22">
        <v>17</v>
      </c>
      <c r="B22" t="s">
        <v>102</v>
      </c>
      <c r="C22" t="s">
        <v>201</v>
      </c>
      <c r="D22" t="s">
        <v>17</v>
      </c>
      <c r="E22">
        <v>30</v>
      </c>
      <c r="G22" t="s">
        <v>209</v>
      </c>
      <c r="H22" t="s">
        <v>188</v>
      </c>
      <c r="I22">
        <v>10</v>
      </c>
    </row>
    <row r="23" spans="1:9">
      <c r="A23">
        <v>18</v>
      </c>
      <c r="B23" t="s">
        <v>71</v>
      </c>
      <c r="C23" t="s">
        <v>201</v>
      </c>
      <c r="D23" t="s">
        <v>17</v>
      </c>
      <c r="E23">
        <v>60</v>
      </c>
      <c r="G23" t="s">
        <v>210</v>
      </c>
      <c r="H23" t="s">
        <v>189</v>
      </c>
      <c r="I23">
        <v>10</v>
      </c>
    </row>
    <row r="24" spans="1:9">
      <c r="A24">
        <v>19</v>
      </c>
      <c r="B24" t="s">
        <v>103</v>
      </c>
      <c r="C24" t="s">
        <v>199</v>
      </c>
      <c r="D24" t="s">
        <v>19</v>
      </c>
      <c r="E24">
        <v>40</v>
      </c>
      <c r="G24" t="s">
        <v>211</v>
      </c>
      <c r="H24" t="s">
        <v>190</v>
      </c>
      <c r="I24">
        <v>30</v>
      </c>
    </row>
    <row r="25" spans="1:9">
      <c r="A25">
        <v>20</v>
      </c>
      <c r="B25" t="s">
        <v>95</v>
      </c>
      <c r="C25" t="s">
        <v>201</v>
      </c>
      <c r="D25" t="s">
        <v>17</v>
      </c>
      <c r="E25">
        <v>40</v>
      </c>
      <c r="G25" t="s">
        <v>208</v>
      </c>
      <c r="H25" t="s">
        <v>148</v>
      </c>
      <c r="I25">
        <v>30</v>
      </c>
    </row>
    <row r="26" spans="1:9">
      <c r="A26">
        <v>21</v>
      </c>
      <c r="B26" s="10" t="s">
        <v>73</v>
      </c>
      <c r="C26" t="s">
        <v>201</v>
      </c>
      <c r="D26" s="4" t="s">
        <v>74</v>
      </c>
      <c r="E26">
        <v>30</v>
      </c>
      <c r="G26" t="s">
        <v>208</v>
      </c>
      <c r="H26" t="s">
        <v>191</v>
      </c>
      <c r="I26">
        <v>30</v>
      </c>
    </row>
    <row r="27" spans="1:9">
      <c r="A27">
        <v>22</v>
      </c>
      <c r="B27" t="s">
        <v>104</v>
      </c>
      <c r="C27" t="s">
        <v>201</v>
      </c>
      <c r="D27" t="s">
        <v>19</v>
      </c>
      <c r="E27">
        <v>30</v>
      </c>
      <c r="G27" t="s">
        <v>208</v>
      </c>
      <c r="H27" t="s">
        <v>212</v>
      </c>
      <c r="I27">
        <v>30</v>
      </c>
    </row>
    <row r="28" spans="1:9">
      <c r="A28">
        <v>23</v>
      </c>
      <c r="B28" t="s">
        <v>76</v>
      </c>
      <c r="C28" t="s">
        <v>201</v>
      </c>
      <c r="D28" t="s">
        <v>17</v>
      </c>
      <c r="E28">
        <v>30</v>
      </c>
    </row>
    <row r="29" spans="1:9">
      <c r="A29">
        <v>24</v>
      </c>
      <c r="B29" t="s">
        <v>96</v>
      </c>
      <c r="C29" t="s">
        <v>201</v>
      </c>
      <c r="D29" t="s">
        <v>85</v>
      </c>
      <c r="E29">
        <v>50</v>
      </c>
    </row>
    <row r="30" spans="1:9">
      <c r="A30">
        <v>25</v>
      </c>
      <c r="B30" t="s">
        <v>81</v>
      </c>
      <c r="C30" t="s">
        <v>201</v>
      </c>
      <c r="D30" t="s">
        <v>23</v>
      </c>
      <c r="E30">
        <v>30</v>
      </c>
    </row>
    <row r="31" spans="1:9">
      <c r="A31">
        <v>26</v>
      </c>
      <c r="B31" t="s">
        <v>97</v>
      </c>
      <c r="C31" t="s">
        <v>201</v>
      </c>
      <c r="D31" t="s">
        <v>17</v>
      </c>
      <c r="E31">
        <v>30</v>
      </c>
    </row>
    <row r="32" spans="1:9">
      <c r="A32">
        <v>27</v>
      </c>
      <c r="B32" t="s">
        <v>84</v>
      </c>
      <c r="C32" t="s">
        <v>201</v>
      </c>
      <c r="D32" t="s">
        <v>17</v>
      </c>
      <c r="E32">
        <v>30</v>
      </c>
    </row>
    <row r="33" spans="1:5">
      <c r="A33">
        <v>28</v>
      </c>
      <c r="B33" t="s">
        <v>87</v>
      </c>
      <c r="C33" t="s">
        <v>201</v>
      </c>
      <c r="D33" t="s">
        <v>19</v>
      </c>
      <c r="E33">
        <v>60</v>
      </c>
    </row>
    <row r="35" spans="1:5">
      <c r="D35" t="s">
        <v>213</v>
      </c>
    </row>
    <row r="36" spans="1:5">
      <c r="D36" t="s">
        <v>214</v>
      </c>
    </row>
    <row r="37" spans="1:5">
      <c r="D37" t="s">
        <v>215</v>
      </c>
    </row>
    <row r="41" spans="1:5">
      <c r="C41" t="s">
        <v>216</v>
      </c>
    </row>
    <row r="42" spans="1:5">
      <c r="C42" t="s">
        <v>217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BD380-8420-46E9-A9A8-47D22FD82019}">
  <dimension ref="A1:G65"/>
  <sheetViews>
    <sheetView workbookViewId="0">
      <selection activeCell="C2" sqref="C2"/>
    </sheetView>
  </sheetViews>
  <sheetFormatPr defaultColWidth="8.85546875" defaultRowHeight="14.45"/>
  <cols>
    <col min="1" max="1" width="12.85546875" customWidth="1"/>
    <col min="2" max="2" width="21.140625" customWidth="1"/>
    <col min="3" max="3" width="148.85546875" customWidth="1"/>
    <col min="4" max="4" width="12.85546875" customWidth="1"/>
    <col min="5" max="5" width="15.28515625" customWidth="1"/>
    <col min="6" max="6" width="16.42578125" customWidth="1"/>
    <col min="7" max="7" width="69.42578125" customWidth="1"/>
  </cols>
  <sheetData>
    <row r="1" spans="1:7">
      <c r="A1" t="s">
        <v>218</v>
      </c>
      <c r="B1" t="s">
        <v>219</v>
      </c>
      <c r="C1" t="s">
        <v>220</v>
      </c>
      <c r="D1" t="s">
        <v>221</v>
      </c>
      <c r="E1" t="s">
        <v>222</v>
      </c>
      <c r="F1" t="s">
        <v>223</v>
      </c>
      <c r="G1" t="s">
        <v>224</v>
      </c>
    </row>
    <row r="2" spans="1:7" ht="72.599999999999994">
      <c r="A2" t="s">
        <v>14</v>
      </c>
      <c r="B2" t="s">
        <v>225</v>
      </c>
      <c r="C2" s="13" t="s">
        <v>226</v>
      </c>
      <c r="E2" s="12"/>
      <c r="G2" s="10"/>
    </row>
    <row r="3" spans="1:7" ht="72.599999999999994">
      <c r="A3" t="s">
        <v>14</v>
      </c>
      <c r="B3" t="s">
        <v>227</v>
      </c>
      <c r="C3" s="13" t="s">
        <v>228</v>
      </c>
      <c r="E3" s="12"/>
      <c r="G3" s="9" t="s">
        <v>229</v>
      </c>
    </row>
    <row r="4" spans="1:7" ht="82.5" customHeight="1">
      <c r="A4" t="s">
        <v>14</v>
      </c>
      <c r="C4" s="13" t="s">
        <v>230</v>
      </c>
      <c r="E4" s="12"/>
      <c r="G4" s="9" t="s">
        <v>231</v>
      </c>
    </row>
    <row r="5" spans="1:7" ht="76.5">
      <c r="A5" t="s">
        <v>14</v>
      </c>
      <c r="C5" s="13" t="s">
        <v>232</v>
      </c>
      <c r="G5" s="9"/>
    </row>
    <row r="6" spans="1:7" ht="72.599999999999994">
      <c r="A6" t="s">
        <v>14</v>
      </c>
      <c r="C6" s="13" t="s">
        <v>233</v>
      </c>
      <c r="G6" s="9"/>
    </row>
    <row r="7" spans="1:7" ht="72.599999999999994">
      <c r="A7" t="s">
        <v>14</v>
      </c>
      <c r="C7" s="13" t="s">
        <v>234</v>
      </c>
    </row>
    <row r="8" spans="1:7" ht="72.599999999999994">
      <c r="A8" t="s">
        <v>88</v>
      </c>
      <c r="C8" s="13" t="s">
        <v>235</v>
      </c>
    </row>
    <row r="9" spans="1:7" ht="72.599999999999994">
      <c r="A9" t="s">
        <v>88</v>
      </c>
      <c r="C9" s="13" t="s">
        <v>236</v>
      </c>
    </row>
    <row r="10" spans="1:7" ht="72.599999999999994">
      <c r="A10" t="s">
        <v>88</v>
      </c>
      <c r="C10" s="13" t="s">
        <v>237</v>
      </c>
    </row>
    <row r="11" spans="1:7" ht="72.599999999999994">
      <c r="A11" t="s">
        <v>88</v>
      </c>
      <c r="C11" s="13" t="s">
        <v>238</v>
      </c>
    </row>
    <row r="12" spans="1:7" ht="72.599999999999994">
      <c r="A12" t="s">
        <v>88</v>
      </c>
      <c r="C12" s="13" t="s">
        <v>239</v>
      </c>
    </row>
    <row r="13" spans="1:7" ht="72.599999999999994">
      <c r="A13" t="s">
        <v>88</v>
      </c>
      <c r="C13" s="13" t="s">
        <v>240</v>
      </c>
    </row>
    <row r="14" spans="1:7" ht="72.599999999999994">
      <c r="A14" t="s">
        <v>88</v>
      </c>
      <c r="C14" s="13" t="s">
        <v>241</v>
      </c>
    </row>
    <row r="15" spans="1:7" ht="72.599999999999994">
      <c r="A15" t="s">
        <v>98</v>
      </c>
      <c r="C15" s="13" t="s">
        <v>242</v>
      </c>
    </row>
    <row r="16" spans="1:7" ht="72.599999999999994">
      <c r="A16" t="s">
        <v>98</v>
      </c>
      <c r="C16" s="13" t="s">
        <v>243</v>
      </c>
    </row>
    <row r="17" spans="1:3" ht="72.599999999999994">
      <c r="A17" t="s">
        <v>98</v>
      </c>
      <c r="C17" s="13" t="s">
        <v>244</v>
      </c>
    </row>
    <row r="18" spans="1:3" ht="72.599999999999994">
      <c r="A18" t="s">
        <v>98</v>
      </c>
      <c r="C18" s="13" t="s">
        <v>245</v>
      </c>
    </row>
    <row r="19" spans="1:3" ht="72.599999999999994">
      <c r="A19" t="s">
        <v>98</v>
      </c>
      <c r="C19" s="13" t="s">
        <v>246</v>
      </c>
    </row>
    <row r="20" spans="1:3" ht="72.599999999999994">
      <c r="A20" t="s">
        <v>98</v>
      </c>
      <c r="C20" s="13" t="s">
        <v>247</v>
      </c>
    </row>
    <row r="21" spans="1:3" ht="72.599999999999994">
      <c r="A21" t="s">
        <v>105</v>
      </c>
      <c r="C21" s="13" t="s">
        <v>248</v>
      </c>
    </row>
    <row r="22" spans="1:3" ht="72.599999999999994">
      <c r="A22" t="s">
        <v>105</v>
      </c>
      <c r="C22" s="13" t="s">
        <v>249</v>
      </c>
    </row>
    <row r="23" spans="1:3" ht="72.599999999999994">
      <c r="A23" t="s">
        <v>105</v>
      </c>
      <c r="C23" s="13" t="s">
        <v>250</v>
      </c>
    </row>
    <row r="24" spans="1:3" ht="72.599999999999994">
      <c r="A24" t="s">
        <v>105</v>
      </c>
      <c r="C24" s="13" t="s">
        <v>251</v>
      </c>
    </row>
    <row r="25" spans="1:3" ht="72.599999999999994">
      <c r="A25" t="s">
        <v>105</v>
      </c>
      <c r="C25" s="13" t="s">
        <v>252</v>
      </c>
    </row>
    <row r="26" spans="1:3" ht="72.599999999999994">
      <c r="A26" t="s">
        <v>105</v>
      </c>
      <c r="C26" s="13" t="s">
        <v>253</v>
      </c>
    </row>
    <row r="27" spans="1:3" ht="72.599999999999994">
      <c r="A27" t="s">
        <v>109</v>
      </c>
      <c r="C27" s="13" t="s">
        <v>254</v>
      </c>
    </row>
    <row r="28" spans="1:3" ht="72.599999999999994">
      <c r="A28" t="s">
        <v>109</v>
      </c>
      <c r="C28" s="13" t="s">
        <v>255</v>
      </c>
    </row>
    <row r="29" spans="1:3" ht="72.599999999999994">
      <c r="A29" t="s">
        <v>109</v>
      </c>
      <c r="C29" s="13" t="s">
        <v>256</v>
      </c>
    </row>
    <row r="30" spans="1:3" ht="72.599999999999994">
      <c r="A30" t="s">
        <v>109</v>
      </c>
      <c r="C30" s="13" t="s">
        <v>257</v>
      </c>
    </row>
    <row r="31" spans="1:3" ht="72.599999999999994">
      <c r="A31" t="s">
        <v>109</v>
      </c>
      <c r="C31" s="13" t="s">
        <v>258</v>
      </c>
    </row>
    <row r="32" spans="1:3" ht="72.599999999999994">
      <c r="A32" t="s">
        <v>109</v>
      </c>
      <c r="C32" s="13" t="s">
        <v>259</v>
      </c>
    </row>
    <row r="33" spans="1:3" ht="72.599999999999994">
      <c r="A33" t="s">
        <v>113</v>
      </c>
      <c r="C33" s="13" t="s">
        <v>260</v>
      </c>
    </row>
    <row r="34" spans="1:3" ht="72.599999999999994">
      <c r="A34" t="s">
        <v>113</v>
      </c>
      <c r="C34" s="13" t="s">
        <v>261</v>
      </c>
    </row>
    <row r="35" spans="1:3" ht="72.599999999999994">
      <c r="A35" t="s">
        <v>113</v>
      </c>
      <c r="C35" s="13" t="s">
        <v>262</v>
      </c>
    </row>
    <row r="36" spans="1:3" ht="72.599999999999994">
      <c r="A36" t="s">
        <v>113</v>
      </c>
      <c r="C36" s="13" t="s">
        <v>263</v>
      </c>
    </row>
    <row r="37" spans="1:3" ht="72.599999999999994">
      <c r="A37" t="s">
        <v>113</v>
      </c>
      <c r="C37" s="13" t="s">
        <v>264</v>
      </c>
    </row>
    <row r="38" spans="1:3" ht="72.599999999999994">
      <c r="A38" t="s">
        <v>113</v>
      </c>
      <c r="C38" s="13" t="s">
        <v>265</v>
      </c>
    </row>
    <row r="39" spans="1:3" ht="72.599999999999994">
      <c r="A39" t="s">
        <v>117</v>
      </c>
      <c r="C39" s="13" t="s">
        <v>266</v>
      </c>
    </row>
    <row r="40" spans="1:3" ht="72.599999999999994">
      <c r="A40" t="s">
        <v>117</v>
      </c>
      <c r="C40" s="13" t="s">
        <v>267</v>
      </c>
    </row>
    <row r="41" spans="1:3" ht="72.599999999999994">
      <c r="A41" t="s">
        <v>117</v>
      </c>
      <c r="C41" s="13" t="s">
        <v>268</v>
      </c>
    </row>
    <row r="42" spans="1:3" ht="72.599999999999994">
      <c r="A42" t="s">
        <v>117</v>
      </c>
      <c r="C42" s="13" t="s">
        <v>269</v>
      </c>
    </row>
    <row r="43" spans="1:3" ht="72.599999999999994">
      <c r="A43" t="s">
        <v>117</v>
      </c>
      <c r="C43" s="13" t="s">
        <v>270</v>
      </c>
    </row>
    <row r="44" spans="1:3" ht="72.599999999999994">
      <c r="A44" t="s">
        <v>117</v>
      </c>
      <c r="C44" s="13" t="s">
        <v>271</v>
      </c>
    </row>
    <row r="45" spans="1:3" ht="72.599999999999994">
      <c r="A45" t="s">
        <v>120</v>
      </c>
      <c r="C45" s="13" t="s">
        <v>272</v>
      </c>
    </row>
    <row r="46" spans="1:3" ht="72.599999999999994">
      <c r="A46" t="s">
        <v>120</v>
      </c>
      <c r="C46" s="13" t="s">
        <v>273</v>
      </c>
    </row>
    <row r="47" spans="1:3" ht="72.599999999999994">
      <c r="A47" t="s">
        <v>120</v>
      </c>
      <c r="C47" s="13" t="s">
        <v>274</v>
      </c>
    </row>
    <row r="48" spans="1:3" ht="72.599999999999994">
      <c r="A48" t="s">
        <v>120</v>
      </c>
      <c r="C48" s="13" t="s">
        <v>275</v>
      </c>
    </row>
    <row r="49" spans="1:3" ht="72.599999999999994">
      <c r="A49" t="s">
        <v>120</v>
      </c>
      <c r="C49" s="13" t="s">
        <v>276</v>
      </c>
    </row>
    <row r="50" spans="1:3" ht="72.599999999999994">
      <c r="A50" t="s">
        <v>120</v>
      </c>
      <c r="C50" s="13" t="s">
        <v>277</v>
      </c>
    </row>
    <row r="51" spans="1:3" ht="72.599999999999994">
      <c r="A51" t="s">
        <v>124</v>
      </c>
      <c r="C51" s="13" t="s">
        <v>278</v>
      </c>
    </row>
    <row r="52" spans="1:3" ht="72.599999999999994">
      <c r="A52" t="s">
        <v>124</v>
      </c>
      <c r="C52" s="13" t="s">
        <v>279</v>
      </c>
    </row>
    <row r="53" spans="1:3" ht="72.599999999999994">
      <c r="A53" t="s">
        <v>124</v>
      </c>
      <c r="C53" s="13" t="s">
        <v>280</v>
      </c>
    </row>
    <row r="54" spans="1:3" ht="72.599999999999994">
      <c r="A54" t="s">
        <v>124</v>
      </c>
      <c r="C54" s="13" t="s">
        <v>281</v>
      </c>
    </row>
    <row r="55" spans="1:3" ht="72.599999999999994">
      <c r="A55" t="s">
        <v>124</v>
      </c>
      <c r="C55" s="13" t="s">
        <v>282</v>
      </c>
    </row>
    <row r="56" spans="1:3" ht="72.599999999999994">
      <c r="A56" t="s">
        <v>124</v>
      </c>
      <c r="C56" s="13" t="s">
        <v>283</v>
      </c>
    </row>
    <row r="57" spans="1:3" ht="72.599999999999994">
      <c r="A57" t="s">
        <v>128</v>
      </c>
      <c r="C57" s="13" t="s">
        <v>284</v>
      </c>
    </row>
    <row r="58" spans="1:3" ht="72.599999999999994">
      <c r="A58" t="s">
        <v>128</v>
      </c>
      <c r="C58" s="13" t="s">
        <v>285</v>
      </c>
    </row>
    <row r="59" spans="1:3" ht="72.599999999999994">
      <c r="A59" t="s">
        <v>128</v>
      </c>
      <c r="C59" s="13" t="s">
        <v>286</v>
      </c>
    </row>
    <row r="60" spans="1:3" ht="72.599999999999994">
      <c r="A60" t="s">
        <v>128</v>
      </c>
      <c r="C60" s="13" t="s">
        <v>287</v>
      </c>
    </row>
    <row r="61" spans="1:3" ht="72.599999999999994">
      <c r="A61" t="s">
        <v>128</v>
      </c>
      <c r="C61" s="13" t="s">
        <v>288</v>
      </c>
    </row>
    <row r="62" spans="1:3" ht="72.599999999999994">
      <c r="A62" t="s">
        <v>128</v>
      </c>
      <c r="C62" s="13" t="s">
        <v>289</v>
      </c>
    </row>
    <row r="63" spans="1:3" ht="72.599999999999994">
      <c r="A63" t="s">
        <v>128</v>
      </c>
      <c r="C63" s="13" t="s">
        <v>290</v>
      </c>
    </row>
    <row r="64" spans="1:3" ht="72.599999999999994">
      <c r="A64" t="s">
        <v>128</v>
      </c>
      <c r="C64" s="13" t="s">
        <v>291</v>
      </c>
    </row>
    <row r="65" spans="1:3" ht="72.599999999999994">
      <c r="A65" t="s">
        <v>128</v>
      </c>
      <c r="C65" s="13" t="s">
        <v>292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FF9E0-E46D-4229-95A6-F23D058AFD3A}">
  <dimension ref="A1:B151"/>
  <sheetViews>
    <sheetView workbookViewId="0">
      <pane ySplit="1" topLeftCell="A2" activePane="bottomLeft" state="frozen"/>
      <selection pane="bottomLeft" activeCell="B2" sqref="B2"/>
    </sheetView>
  </sheetViews>
  <sheetFormatPr defaultColWidth="8.85546875" defaultRowHeight="14.45"/>
  <cols>
    <col min="1" max="1" width="23.42578125" customWidth="1"/>
    <col min="2" max="2" width="152.140625" customWidth="1"/>
  </cols>
  <sheetData>
    <row r="1" spans="1:2" ht="15.6">
      <c r="A1" s="1" t="s">
        <v>293</v>
      </c>
      <c r="B1" s="1" t="s">
        <v>220</v>
      </c>
    </row>
    <row r="2" spans="1:2" ht="106.5">
      <c r="A2">
        <v>1</v>
      </c>
      <c r="B2" s="13" t="s">
        <v>294</v>
      </c>
    </row>
    <row r="3" spans="1:2" ht="106.5">
      <c r="A3">
        <v>2</v>
      </c>
      <c r="B3" s="13" t="s">
        <v>295</v>
      </c>
    </row>
    <row r="4" spans="1:2" ht="106.5">
      <c r="A4">
        <v>3</v>
      </c>
      <c r="B4" s="13" t="s">
        <v>296</v>
      </c>
    </row>
    <row r="5" spans="1:2" ht="106.5">
      <c r="A5">
        <v>4</v>
      </c>
      <c r="B5" s="13" t="s">
        <v>297</v>
      </c>
    </row>
    <row r="6" spans="1:2" ht="101.45">
      <c r="A6">
        <v>5</v>
      </c>
      <c r="B6" s="13" t="s">
        <v>298</v>
      </c>
    </row>
    <row r="7" spans="1:2" ht="101.45">
      <c r="A7">
        <v>6</v>
      </c>
      <c r="B7" s="13" t="s">
        <v>299</v>
      </c>
    </row>
    <row r="8" spans="1:2" ht="101.45">
      <c r="A8">
        <v>7</v>
      </c>
      <c r="B8" s="13" t="s">
        <v>300</v>
      </c>
    </row>
    <row r="9" spans="1:2" ht="101.45">
      <c r="A9">
        <v>8</v>
      </c>
      <c r="B9" s="13" t="s">
        <v>301</v>
      </c>
    </row>
    <row r="10" spans="1:2" ht="101.45">
      <c r="A10">
        <v>9</v>
      </c>
      <c r="B10" s="13" t="s">
        <v>302</v>
      </c>
    </row>
    <row r="11" spans="1:2" ht="101.45">
      <c r="A11">
        <v>10</v>
      </c>
      <c r="B11" s="13" t="s">
        <v>303</v>
      </c>
    </row>
    <row r="12" spans="1:2" ht="101.45">
      <c r="A12">
        <v>11</v>
      </c>
      <c r="B12" s="13" t="s">
        <v>304</v>
      </c>
    </row>
    <row r="13" spans="1:2" ht="101.45">
      <c r="A13">
        <v>12</v>
      </c>
      <c r="B13" s="13" t="s">
        <v>305</v>
      </c>
    </row>
    <row r="14" spans="1:2" ht="101.45">
      <c r="A14">
        <v>13</v>
      </c>
      <c r="B14" s="13" t="s">
        <v>306</v>
      </c>
    </row>
    <row r="15" spans="1:2" ht="101.45">
      <c r="A15">
        <v>14</v>
      </c>
      <c r="B15" s="13" t="s">
        <v>307</v>
      </c>
    </row>
    <row r="16" spans="1:2" ht="101.45">
      <c r="A16">
        <v>15</v>
      </c>
      <c r="B16" s="13" t="s">
        <v>308</v>
      </c>
    </row>
    <row r="17" spans="1:2" ht="101.45">
      <c r="A17">
        <v>16</v>
      </c>
      <c r="B17" s="13" t="s">
        <v>309</v>
      </c>
    </row>
    <row r="18" spans="1:2" ht="101.45">
      <c r="A18">
        <v>17</v>
      </c>
      <c r="B18" s="13" t="s">
        <v>310</v>
      </c>
    </row>
    <row r="19" spans="1:2" ht="101.45">
      <c r="A19">
        <v>18</v>
      </c>
      <c r="B19" s="13" t="s">
        <v>311</v>
      </c>
    </row>
    <row r="20" spans="1:2" ht="101.45">
      <c r="A20">
        <v>19</v>
      </c>
      <c r="B20" s="13" t="s">
        <v>312</v>
      </c>
    </row>
    <row r="21" spans="1:2" ht="101.45">
      <c r="A21">
        <v>20</v>
      </c>
      <c r="B21" s="13" t="s">
        <v>313</v>
      </c>
    </row>
    <row r="22" spans="1:2" ht="101.45">
      <c r="A22">
        <v>21</v>
      </c>
      <c r="B22" s="13" t="s">
        <v>314</v>
      </c>
    </row>
    <row r="23" spans="1:2" ht="101.45">
      <c r="A23">
        <v>22</v>
      </c>
      <c r="B23" s="13" t="s">
        <v>315</v>
      </c>
    </row>
    <row r="24" spans="1:2" ht="101.45">
      <c r="A24">
        <v>23</v>
      </c>
      <c r="B24" s="13" t="s">
        <v>316</v>
      </c>
    </row>
    <row r="25" spans="1:2" ht="101.45">
      <c r="A25">
        <v>24</v>
      </c>
      <c r="B25" s="13" t="s">
        <v>317</v>
      </c>
    </row>
    <row r="26" spans="1:2" ht="101.45">
      <c r="A26">
        <v>25</v>
      </c>
      <c r="B26" s="13" t="s">
        <v>318</v>
      </c>
    </row>
    <row r="27" spans="1:2" ht="101.45">
      <c r="A27">
        <v>26</v>
      </c>
      <c r="B27" s="13" t="s">
        <v>319</v>
      </c>
    </row>
    <row r="28" spans="1:2" ht="101.45">
      <c r="A28">
        <v>27</v>
      </c>
      <c r="B28" s="13" t="s">
        <v>320</v>
      </c>
    </row>
    <row r="29" spans="1:2" ht="101.45">
      <c r="A29">
        <v>28</v>
      </c>
      <c r="B29" s="13" t="s">
        <v>321</v>
      </c>
    </row>
    <row r="30" spans="1:2" ht="101.45">
      <c r="A30">
        <v>29</v>
      </c>
      <c r="B30" s="13" t="s">
        <v>322</v>
      </c>
    </row>
    <row r="31" spans="1:2" ht="101.45">
      <c r="A31">
        <v>30</v>
      </c>
      <c r="B31" s="13" t="s">
        <v>323</v>
      </c>
    </row>
    <row r="32" spans="1:2" ht="101.45">
      <c r="A32">
        <v>31</v>
      </c>
      <c r="B32" s="13" t="s">
        <v>324</v>
      </c>
    </row>
    <row r="33" spans="1:2" ht="101.45">
      <c r="A33">
        <v>32</v>
      </c>
      <c r="B33" s="13" t="s">
        <v>325</v>
      </c>
    </row>
    <row r="34" spans="1:2" ht="101.45">
      <c r="A34">
        <v>33</v>
      </c>
      <c r="B34" s="13" t="s">
        <v>326</v>
      </c>
    </row>
    <row r="35" spans="1:2" ht="101.45">
      <c r="A35">
        <v>34</v>
      </c>
      <c r="B35" s="13" t="s">
        <v>327</v>
      </c>
    </row>
    <row r="36" spans="1:2" ht="101.45">
      <c r="A36">
        <v>35</v>
      </c>
      <c r="B36" s="13" t="s">
        <v>328</v>
      </c>
    </row>
    <row r="37" spans="1:2" ht="101.45">
      <c r="A37">
        <v>36</v>
      </c>
      <c r="B37" s="13" t="s">
        <v>329</v>
      </c>
    </row>
    <row r="38" spans="1:2" ht="101.45">
      <c r="A38">
        <v>37</v>
      </c>
      <c r="B38" s="13" t="s">
        <v>330</v>
      </c>
    </row>
    <row r="39" spans="1:2" ht="101.45">
      <c r="A39">
        <v>38</v>
      </c>
      <c r="B39" s="13" t="s">
        <v>331</v>
      </c>
    </row>
    <row r="40" spans="1:2" ht="101.45">
      <c r="A40">
        <v>39</v>
      </c>
      <c r="B40" s="13" t="s">
        <v>332</v>
      </c>
    </row>
    <row r="41" spans="1:2" ht="101.45">
      <c r="A41">
        <v>40</v>
      </c>
      <c r="B41" s="13" t="s">
        <v>333</v>
      </c>
    </row>
    <row r="42" spans="1:2" ht="101.45">
      <c r="A42">
        <v>41</v>
      </c>
      <c r="B42" s="13" t="s">
        <v>334</v>
      </c>
    </row>
    <row r="43" spans="1:2" ht="101.45">
      <c r="A43">
        <v>42</v>
      </c>
      <c r="B43" s="13" t="s">
        <v>335</v>
      </c>
    </row>
    <row r="44" spans="1:2" ht="101.45">
      <c r="A44">
        <v>43</v>
      </c>
      <c r="B44" s="13" t="s">
        <v>336</v>
      </c>
    </row>
    <row r="45" spans="1:2" ht="101.45">
      <c r="A45">
        <v>44</v>
      </c>
      <c r="B45" s="13" t="s">
        <v>337</v>
      </c>
    </row>
    <row r="46" spans="1:2" ht="101.45">
      <c r="A46">
        <v>45</v>
      </c>
      <c r="B46" s="13" t="s">
        <v>338</v>
      </c>
    </row>
    <row r="47" spans="1:2" ht="101.45">
      <c r="A47">
        <v>46</v>
      </c>
      <c r="B47" s="13" t="s">
        <v>339</v>
      </c>
    </row>
    <row r="48" spans="1:2" ht="101.45">
      <c r="A48">
        <v>47</v>
      </c>
      <c r="B48" s="13" t="s">
        <v>340</v>
      </c>
    </row>
    <row r="49" spans="1:2" ht="101.45">
      <c r="A49">
        <v>48</v>
      </c>
      <c r="B49" s="13" t="s">
        <v>341</v>
      </c>
    </row>
    <row r="50" spans="1:2" ht="101.45">
      <c r="A50">
        <v>49</v>
      </c>
      <c r="B50" s="13" t="s">
        <v>342</v>
      </c>
    </row>
    <row r="51" spans="1:2" ht="101.45">
      <c r="A51">
        <v>50</v>
      </c>
      <c r="B51" s="13" t="s">
        <v>343</v>
      </c>
    </row>
    <row r="52" spans="1:2" ht="101.45">
      <c r="A52">
        <v>51</v>
      </c>
      <c r="B52" s="13" t="s">
        <v>344</v>
      </c>
    </row>
    <row r="53" spans="1:2" ht="101.45">
      <c r="A53">
        <v>52</v>
      </c>
      <c r="B53" s="13" t="s">
        <v>345</v>
      </c>
    </row>
    <row r="54" spans="1:2" ht="101.45">
      <c r="A54">
        <v>53</v>
      </c>
      <c r="B54" s="13" t="s">
        <v>346</v>
      </c>
    </row>
    <row r="55" spans="1:2" ht="101.45">
      <c r="A55">
        <v>54</v>
      </c>
      <c r="B55" s="13" t="s">
        <v>347</v>
      </c>
    </row>
    <row r="56" spans="1:2" ht="101.45">
      <c r="A56">
        <v>55</v>
      </c>
      <c r="B56" s="13" t="s">
        <v>348</v>
      </c>
    </row>
    <row r="57" spans="1:2" ht="101.45">
      <c r="A57">
        <v>56</v>
      </c>
      <c r="B57" s="13" t="s">
        <v>349</v>
      </c>
    </row>
    <row r="58" spans="1:2" ht="101.45">
      <c r="A58">
        <v>57</v>
      </c>
      <c r="B58" s="13" t="s">
        <v>350</v>
      </c>
    </row>
    <row r="59" spans="1:2" ht="101.45">
      <c r="A59">
        <v>58</v>
      </c>
      <c r="B59" s="13" t="s">
        <v>351</v>
      </c>
    </row>
    <row r="60" spans="1:2" ht="101.45">
      <c r="A60">
        <v>59</v>
      </c>
      <c r="B60" s="13" t="s">
        <v>352</v>
      </c>
    </row>
    <row r="61" spans="1:2" ht="101.45">
      <c r="A61">
        <v>60</v>
      </c>
      <c r="B61" s="13" t="s">
        <v>353</v>
      </c>
    </row>
    <row r="62" spans="1:2" ht="101.45">
      <c r="A62">
        <v>61</v>
      </c>
      <c r="B62" s="13" t="s">
        <v>354</v>
      </c>
    </row>
    <row r="63" spans="1:2" ht="101.45">
      <c r="A63">
        <v>62</v>
      </c>
      <c r="B63" s="13" t="s">
        <v>355</v>
      </c>
    </row>
    <row r="64" spans="1:2" ht="101.45">
      <c r="A64">
        <v>63</v>
      </c>
      <c r="B64" s="13" t="s">
        <v>356</v>
      </c>
    </row>
    <row r="65" spans="1:2" ht="101.45">
      <c r="A65">
        <v>64</v>
      </c>
      <c r="B65" s="13" t="s">
        <v>357</v>
      </c>
    </row>
    <row r="66" spans="1:2" ht="101.45">
      <c r="A66">
        <v>65</v>
      </c>
      <c r="B66" s="13" t="s">
        <v>358</v>
      </c>
    </row>
    <row r="67" spans="1:2" ht="101.45">
      <c r="A67">
        <v>66</v>
      </c>
      <c r="B67" s="13" t="s">
        <v>359</v>
      </c>
    </row>
    <row r="68" spans="1:2" ht="101.45">
      <c r="A68">
        <v>67</v>
      </c>
      <c r="B68" s="13" t="s">
        <v>360</v>
      </c>
    </row>
    <row r="69" spans="1:2" ht="101.45">
      <c r="A69">
        <v>68</v>
      </c>
      <c r="B69" s="13" t="s">
        <v>361</v>
      </c>
    </row>
    <row r="70" spans="1:2" ht="101.45">
      <c r="A70">
        <v>69</v>
      </c>
      <c r="B70" s="13" t="s">
        <v>362</v>
      </c>
    </row>
    <row r="71" spans="1:2" ht="101.45">
      <c r="A71">
        <v>70</v>
      </c>
      <c r="B71" s="13" t="s">
        <v>363</v>
      </c>
    </row>
    <row r="72" spans="1:2" ht="101.45">
      <c r="A72">
        <v>71</v>
      </c>
      <c r="B72" s="13" t="s">
        <v>364</v>
      </c>
    </row>
    <row r="73" spans="1:2" ht="101.45">
      <c r="A73">
        <v>72</v>
      </c>
      <c r="B73" s="13" t="s">
        <v>365</v>
      </c>
    </row>
    <row r="74" spans="1:2" ht="101.45">
      <c r="A74">
        <v>73</v>
      </c>
      <c r="B74" s="13" t="s">
        <v>366</v>
      </c>
    </row>
    <row r="75" spans="1:2" ht="101.45">
      <c r="A75">
        <v>74</v>
      </c>
      <c r="B75" s="13" t="s">
        <v>367</v>
      </c>
    </row>
    <row r="76" spans="1:2" ht="101.45">
      <c r="A76">
        <v>75</v>
      </c>
      <c r="B76" s="13" t="s">
        <v>368</v>
      </c>
    </row>
    <row r="77" spans="1:2" ht="101.45">
      <c r="A77">
        <v>76</v>
      </c>
      <c r="B77" s="13" t="s">
        <v>369</v>
      </c>
    </row>
    <row r="78" spans="1:2" ht="101.45">
      <c r="A78">
        <v>77</v>
      </c>
      <c r="B78" s="13" t="s">
        <v>370</v>
      </c>
    </row>
    <row r="79" spans="1:2" ht="101.45">
      <c r="A79">
        <v>78</v>
      </c>
      <c r="B79" s="13" t="s">
        <v>371</v>
      </c>
    </row>
    <row r="80" spans="1:2" ht="101.45">
      <c r="A80">
        <v>79</v>
      </c>
      <c r="B80" s="13" t="s">
        <v>372</v>
      </c>
    </row>
    <row r="81" spans="1:2" ht="101.45">
      <c r="A81">
        <v>80</v>
      </c>
      <c r="B81" s="13" t="s">
        <v>373</v>
      </c>
    </row>
    <row r="82" spans="1:2" ht="101.45">
      <c r="A82">
        <v>81</v>
      </c>
      <c r="B82" s="13" t="s">
        <v>374</v>
      </c>
    </row>
    <row r="83" spans="1:2" ht="101.45">
      <c r="A83">
        <v>82</v>
      </c>
      <c r="B83" s="13" t="s">
        <v>375</v>
      </c>
    </row>
    <row r="84" spans="1:2" ht="101.45">
      <c r="A84">
        <v>83</v>
      </c>
      <c r="B84" s="13" t="s">
        <v>376</v>
      </c>
    </row>
    <row r="85" spans="1:2" ht="101.45">
      <c r="A85">
        <v>84</v>
      </c>
      <c r="B85" s="13" t="s">
        <v>377</v>
      </c>
    </row>
    <row r="86" spans="1:2" ht="101.45">
      <c r="A86">
        <v>85</v>
      </c>
      <c r="B86" s="13" t="s">
        <v>378</v>
      </c>
    </row>
    <row r="87" spans="1:2" ht="101.45">
      <c r="A87">
        <v>86</v>
      </c>
      <c r="B87" s="13" t="s">
        <v>379</v>
      </c>
    </row>
    <row r="88" spans="1:2" ht="101.45">
      <c r="A88">
        <v>87</v>
      </c>
      <c r="B88" s="13" t="s">
        <v>380</v>
      </c>
    </row>
    <row r="89" spans="1:2" ht="101.45">
      <c r="A89">
        <v>88</v>
      </c>
      <c r="B89" s="13" t="s">
        <v>381</v>
      </c>
    </row>
    <row r="90" spans="1:2" ht="101.45">
      <c r="A90">
        <v>89</v>
      </c>
      <c r="B90" s="13" t="s">
        <v>382</v>
      </c>
    </row>
    <row r="91" spans="1:2" ht="101.45">
      <c r="A91">
        <v>90</v>
      </c>
      <c r="B91" s="13" t="s">
        <v>383</v>
      </c>
    </row>
    <row r="92" spans="1:2" ht="101.45">
      <c r="A92">
        <v>91</v>
      </c>
      <c r="B92" s="13" t="s">
        <v>384</v>
      </c>
    </row>
    <row r="93" spans="1:2" ht="101.45">
      <c r="A93">
        <v>92</v>
      </c>
      <c r="B93" s="13" t="s">
        <v>385</v>
      </c>
    </row>
    <row r="94" spans="1:2" ht="101.45">
      <c r="A94">
        <v>93</v>
      </c>
      <c r="B94" s="13" t="s">
        <v>386</v>
      </c>
    </row>
    <row r="95" spans="1:2" ht="101.45">
      <c r="A95">
        <v>94</v>
      </c>
      <c r="B95" s="13" t="s">
        <v>387</v>
      </c>
    </row>
    <row r="96" spans="1:2" ht="101.45">
      <c r="A96">
        <v>95</v>
      </c>
      <c r="B96" s="13" t="s">
        <v>388</v>
      </c>
    </row>
    <row r="97" spans="1:2" ht="101.45">
      <c r="A97">
        <v>96</v>
      </c>
      <c r="B97" s="13" t="s">
        <v>389</v>
      </c>
    </row>
    <row r="98" spans="1:2" ht="101.45">
      <c r="A98">
        <v>97</v>
      </c>
      <c r="B98" s="13" t="s">
        <v>390</v>
      </c>
    </row>
    <row r="99" spans="1:2" ht="101.45">
      <c r="A99">
        <v>98</v>
      </c>
      <c r="B99" s="13" t="s">
        <v>391</v>
      </c>
    </row>
    <row r="100" spans="1:2" ht="101.45">
      <c r="A100">
        <v>99</v>
      </c>
      <c r="B100" s="13" t="s">
        <v>392</v>
      </c>
    </row>
    <row r="101" spans="1:2" ht="101.45">
      <c r="A101">
        <v>100</v>
      </c>
      <c r="B101" s="13" t="s">
        <v>393</v>
      </c>
    </row>
    <row r="102" spans="1:2" ht="87">
      <c r="A102">
        <v>101</v>
      </c>
      <c r="B102" s="13" t="s">
        <v>394</v>
      </c>
    </row>
    <row r="103" spans="1:2" ht="72.599999999999994">
      <c r="A103">
        <v>102</v>
      </c>
      <c r="B103" s="13" t="s">
        <v>395</v>
      </c>
    </row>
    <row r="104" spans="1:2" ht="72.599999999999994">
      <c r="A104">
        <v>103</v>
      </c>
      <c r="B104" s="13" t="s">
        <v>396</v>
      </c>
    </row>
    <row r="105" spans="1:2" ht="72.599999999999994">
      <c r="A105">
        <v>104</v>
      </c>
      <c r="B105" s="13" t="s">
        <v>397</v>
      </c>
    </row>
    <row r="106" spans="1:2" ht="72.599999999999994">
      <c r="A106">
        <v>105</v>
      </c>
      <c r="B106" s="13" t="s">
        <v>398</v>
      </c>
    </row>
    <row r="107" spans="1:2" ht="72.599999999999994">
      <c r="A107">
        <v>106</v>
      </c>
      <c r="B107" s="13" t="s">
        <v>399</v>
      </c>
    </row>
    <row r="108" spans="1:2" ht="72.599999999999994">
      <c r="A108">
        <v>107</v>
      </c>
      <c r="B108" s="13" t="s">
        <v>400</v>
      </c>
    </row>
    <row r="109" spans="1:2" ht="72.599999999999994">
      <c r="A109">
        <v>108</v>
      </c>
      <c r="B109" s="13" t="s">
        <v>401</v>
      </c>
    </row>
    <row r="110" spans="1:2" ht="72.599999999999994">
      <c r="A110">
        <v>109</v>
      </c>
      <c r="B110" s="13" t="s">
        <v>402</v>
      </c>
    </row>
    <row r="111" spans="1:2" ht="72.599999999999994">
      <c r="A111">
        <v>110</v>
      </c>
      <c r="B111" s="13" t="s">
        <v>403</v>
      </c>
    </row>
    <row r="112" spans="1:2" ht="72.599999999999994">
      <c r="A112">
        <v>111</v>
      </c>
      <c r="B112" s="13" t="s">
        <v>404</v>
      </c>
    </row>
    <row r="113" spans="1:2" ht="72.599999999999994">
      <c r="A113">
        <v>112</v>
      </c>
      <c r="B113" s="13" t="s">
        <v>405</v>
      </c>
    </row>
    <row r="114" spans="1:2" ht="72.599999999999994">
      <c r="A114">
        <v>113</v>
      </c>
      <c r="B114" s="13" t="s">
        <v>406</v>
      </c>
    </row>
    <row r="115" spans="1:2" ht="72.599999999999994">
      <c r="A115">
        <v>114</v>
      </c>
      <c r="B115" s="13" t="s">
        <v>407</v>
      </c>
    </row>
    <row r="116" spans="1:2" ht="72.599999999999994">
      <c r="A116">
        <v>115</v>
      </c>
      <c r="B116" s="13" t="s">
        <v>408</v>
      </c>
    </row>
    <row r="117" spans="1:2" ht="72.599999999999994">
      <c r="A117">
        <v>116</v>
      </c>
      <c r="B117" s="13" t="s">
        <v>409</v>
      </c>
    </row>
    <row r="118" spans="1:2" ht="72.599999999999994">
      <c r="A118">
        <v>117</v>
      </c>
      <c r="B118" s="13" t="s">
        <v>410</v>
      </c>
    </row>
    <row r="119" spans="1:2" ht="72.599999999999994">
      <c r="A119">
        <v>118</v>
      </c>
      <c r="B119" s="13" t="s">
        <v>411</v>
      </c>
    </row>
    <row r="120" spans="1:2" ht="72.599999999999994">
      <c r="A120">
        <v>119</v>
      </c>
      <c r="B120" s="13" t="s">
        <v>412</v>
      </c>
    </row>
    <row r="121" spans="1:2" ht="72.599999999999994">
      <c r="A121">
        <v>120</v>
      </c>
      <c r="B121" s="13" t="s">
        <v>413</v>
      </c>
    </row>
    <row r="122" spans="1:2" ht="72.599999999999994">
      <c r="A122">
        <v>121</v>
      </c>
      <c r="B122" s="13" t="s">
        <v>414</v>
      </c>
    </row>
    <row r="123" spans="1:2" ht="72.599999999999994">
      <c r="A123">
        <v>122</v>
      </c>
      <c r="B123" s="13" t="s">
        <v>415</v>
      </c>
    </row>
    <row r="124" spans="1:2" ht="72.599999999999994">
      <c r="A124">
        <v>123</v>
      </c>
      <c r="B124" s="13" t="s">
        <v>416</v>
      </c>
    </row>
    <row r="125" spans="1:2" ht="72.599999999999994">
      <c r="A125">
        <v>124</v>
      </c>
      <c r="B125" s="13" t="s">
        <v>417</v>
      </c>
    </row>
    <row r="126" spans="1:2" ht="72.599999999999994">
      <c r="A126">
        <v>125</v>
      </c>
      <c r="B126" s="13" t="s">
        <v>418</v>
      </c>
    </row>
    <row r="127" spans="1:2" ht="72.599999999999994">
      <c r="A127">
        <v>126</v>
      </c>
      <c r="B127" s="13" t="s">
        <v>419</v>
      </c>
    </row>
    <row r="128" spans="1:2" ht="72.599999999999994">
      <c r="A128">
        <v>127</v>
      </c>
      <c r="B128" s="13" t="s">
        <v>420</v>
      </c>
    </row>
    <row r="129" spans="1:2" ht="72.599999999999994">
      <c r="A129">
        <v>128</v>
      </c>
      <c r="B129" s="13" t="s">
        <v>421</v>
      </c>
    </row>
    <row r="130" spans="1:2" ht="72.599999999999994">
      <c r="A130">
        <v>129</v>
      </c>
      <c r="B130" s="13" t="s">
        <v>422</v>
      </c>
    </row>
    <row r="131" spans="1:2" ht="72.599999999999994">
      <c r="A131">
        <v>130</v>
      </c>
      <c r="B131" s="13" t="s">
        <v>423</v>
      </c>
    </row>
    <row r="132" spans="1:2" ht="72.599999999999994">
      <c r="A132">
        <v>131</v>
      </c>
      <c r="B132" s="13" t="s">
        <v>424</v>
      </c>
    </row>
    <row r="133" spans="1:2" ht="72.599999999999994">
      <c r="A133">
        <v>132</v>
      </c>
      <c r="B133" s="13" t="s">
        <v>425</v>
      </c>
    </row>
    <row r="134" spans="1:2" ht="72.599999999999994">
      <c r="A134">
        <v>133</v>
      </c>
      <c r="B134" s="13" t="s">
        <v>426</v>
      </c>
    </row>
    <row r="135" spans="1:2" ht="72.599999999999994">
      <c r="A135">
        <v>134</v>
      </c>
      <c r="B135" s="13" t="s">
        <v>427</v>
      </c>
    </row>
    <row r="136" spans="1:2" ht="72.599999999999994">
      <c r="A136">
        <v>135</v>
      </c>
      <c r="B136" s="13" t="s">
        <v>428</v>
      </c>
    </row>
    <row r="137" spans="1:2" ht="72.599999999999994">
      <c r="A137">
        <v>136</v>
      </c>
      <c r="B137" s="13" t="s">
        <v>429</v>
      </c>
    </row>
    <row r="138" spans="1:2" ht="72.599999999999994">
      <c r="A138">
        <v>137</v>
      </c>
      <c r="B138" s="13" t="s">
        <v>430</v>
      </c>
    </row>
    <row r="139" spans="1:2" ht="72.599999999999994">
      <c r="A139">
        <v>138</v>
      </c>
      <c r="B139" s="13" t="s">
        <v>431</v>
      </c>
    </row>
    <row r="140" spans="1:2" ht="72.599999999999994">
      <c r="A140">
        <v>139</v>
      </c>
      <c r="B140" s="13" t="s">
        <v>432</v>
      </c>
    </row>
    <row r="141" spans="1:2" ht="72.599999999999994">
      <c r="A141">
        <v>140</v>
      </c>
      <c r="B141" s="13" t="s">
        <v>433</v>
      </c>
    </row>
    <row r="142" spans="1:2" ht="72.599999999999994">
      <c r="A142">
        <v>141</v>
      </c>
      <c r="B142" s="13" t="s">
        <v>434</v>
      </c>
    </row>
    <row r="143" spans="1:2" ht="72.599999999999994">
      <c r="A143">
        <v>142</v>
      </c>
      <c r="B143" s="13" t="s">
        <v>435</v>
      </c>
    </row>
    <row r="144" spans="1:2" ht="72.599999999999994">
      <c r="A144">
        <v>143</v>
      </c>
      <c r="B144" s="13" t="s">
        <v>436</v>
      </c>
    </row>
    <row r="145" spans="1:2" ht="72.599999999999994">
      <c r="A145">
        <v>144</v>
      </c>
      <c r="B145" s="13" t="s">
        <v>437</v>
      </c>
    </row>
    <row r="146" spans="1:2" ht="72.599999999999994">
      <c r="A146">
        <v>145</v>
      </c>
      <c r="B146" s="13" t="s">
        <v>438</v>
      </c>
    </row>
    <row r="147" spans="1:2" ht="72.599999999999994">
      <c r="A147">
        <v>146</v>
      </c>
      <c r="B147" s="13" t="s">
        <v>439</v>
      </c>
    </row>
    <row r="148" spans="1:2" ht="72.599999999999994">
      <c r="A148">
        <v>147</v>
      </c>
      <c r="B148" s="13" t="s">
        <v>440</v>
      </c>
    </row>
    <row r="149" spans="1:2" ht="72.599999999999994">
      <c r="A149">
        <v>148</v>
      </c>
      <c r="B149" s="13" t="s">
        <v>441</v>
      </c>
    </row>
    <row r="150" spans="1:2" ht="72.599999999999994">
      <c r="A150">
        <v>149</v>
      </c>
      <c r="B150" s="13" t="s">
        <v>442</v>
      </c>
    </row>
    <row r="151" spans="1:2" ht="72.599999999999994">
      <c r="A151">
        <v>150</v>
      </c>
      <c r="B151" s="13" t="s">
        <v>443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E164D-7CAC-4378-9FC9-647419895642}">
  <dimension ref="C1:G97"/>
  <sheetViews>
    <sheetView workbookViewId="0">
      <pane ySplit="1" topLeftCell="G5" activePane="bottomLeft" state="frozen"/>
      <selection pane="bottomLeft" activeCell="G5" sqref="G5"/>
    </sheetView>
  </sheetViews>
  <sheetFormatPr defaultColWidth="8.85546875" defaultRowHeight="14.45"/>
  <cols>
    <col min="3" max="3" width="30.28515625" customWidth="1"/>
    <col min="4" max="4" width="19" customWidth="1"/>
    <col min="5" max="5" width="41.42578125" customWidth="1"/>
    <col min="6" max="6" width="28.42578125" customWidth="1"/>
    <col min="7" max="7" width="57.28515625" customWidth="1"/>
  </cols>
  <sheetData>
    <row r="1" spans="3:7" ht="15.6">
      <c r="C1" s="1" t="s">
        <v>444</v>
      </c>
      <c r="D1" s="1" t="s">
        <v>144</v>
      </c>
      <c r="E1" s="1" t="s">
        <v>445</v>
      </c>
      <c r="F1" s="1" t="s">
        <v>446</v>
      </c>
      <c r="G1" s="1" t="s">
        <v>447</v>
      </c>
    </row>
    <row r="2" spans="3:7">
      <c r="C2" t="s">
        <v>448</v>
      </c>
      <c r="D2" t="s">
        <v>449</v>
      </c>
    </row>
    <row r="3" spans="3:7">
      <c r="C3" t="s">
        <v>450</v>
      </c>
      <c r="D3" t="s">
        <v>449</v>
      </c>
    </row>
    <row r="4" spans="3:7">
      <c r="C4" t="s">
        <v>451</v>
      </c>
      <c r="D4" t="s">
        <v>449</v>
      </c>
    </row>
    <row r="5" spans="3:7">
      <c r="C5" t="s">
        <v>452</v>
      </c>
      <c r="D5" t="s">
        <v>449</v>
      </c>
      <c r="G5" s="14" t="s">
        <v>453</v>
      </c>
    </row>
    <row r="6" spans="3:7">
      <c r="C6" t="s">
        <v>454</v>
      </c>
      <c r="D6" t="s">
        <v>449</v>
      </c>
      <c r="E6" s="10" t="s">
        <v>455</v>
      </c>
      <c r="F6" s="10" t="s">
        <v>456</v>
      </c>
      <c r="G6" s="10" t="s">
        <v>457</v>
      </c>
    </row>
    <row r="7" spans="3:7">
      <c r="C7" t="s">
        <v>458</v>
      </c>
      <c r="D7" t="s">
        <v>449</v>
      </c>
      <c r="E7" s="10" t="s">
        <v>459</v>
      </c>
      <c r="F7" s="10" t="s">
        <v>460</v>
      </c>
      <c r="G7" s="10" t="s">
        <v>461</v>
      </c>
    </row>
    <row r="8" spans="3:7">
      <c r="C8" t="s">
        <v>462</v>
      </c>
      <c r="E8" s="10" t="s">
        <v>463</v>
      </c>
      <c r="F8" s="10" t="s">
        <v>464</v>
      </c>
      <c r="G8" s="10" t="s">
        <v>465</v>
      </c>
    </row>
    <row r="9" spans="3:7">
      <c r="C9" t="s">
        <v>466</v>
      </c>
      <c r="D9" t="s">
        <v>467</v>
      </c>
      <c r="E9" s="10"/>
      <c r="F9" s="10"/>
      <c r="G9" s="10" t="s">
        <v>468</v>
      </c>
    </row>
    <row r="10" spans="3:7">
      <c r="C10" t="s">
        <v>469</v>
      </c>
      <c r="D10" t="s">
        <v>467</v>
      </c>
      <c r="E10" s="10"/>
      <c r="F10" s="10"/>
      <c r="G10" s="10" t="s">
        <v>470</v>
      </c>
    </row>
    <row r="11" spans="3:7">
      <c r="C11" t="s">
        <v>471</v>
      </c>
      <c r="D11" t="s">
        <v>467</v>
      </c>
      <c r="G11" s="10" t="s">
        <v>472</v>
      </c>
    </row>
    <row r="12" spans="3:7">
      <c r="C12" t="s">
        <v>473</v>
      </c>
      <c r="D12" t="s">
        <v>467</v>
      </c>
      <c r="G12" s="10" t="s">
        <v>474</v>
      </c>
    </row>
    <row r="13" spans="3:7">
      <c r="C13" t="s">
        <v>475</v>
      </c>
      <c r="D13" t="s">
        <v>467</v>
      </c>
      <c r="G13" s="10" t="s">
        <v>476</v>
      </c>
    </row>
    <row r="14" spans="3:7">
      <c r="C14" t="s">
        <v>477</v>
      </c>
      <c r="D14" t="s">
        <v>467</v>
      </c>
      <c r="G14" s="10" t="s">
        <v>478</v>
      </c>
    </row>
    <row r="15" spans="3:7">
      <c r="C15" t="s">
        <v>479</v>
      </c>
      <c r="D15" t="s">
        <v>467</v>
      </c>
      <c r="G15" s="10" t="s">
        <v>480</v>
      </c>
    </row>
    <row r="16" spans="3:7">
      <c r="C16" t="s">
        <v>481</v>
      </c>
      <c r="D16" t="s">
        <v>467</v>
      </c>
    </row>
    <row r="17" spans="3:4">
      <c r="C17" t="s">
        <v>482</v>
      </c>
    </row>
    <row r="18" spans="3:4">
      <c r="C18" t="s">
        <v>483</v>
      </c>
      <c r="D18" t="s">
        <v>484</v>
      </c>
    </row>
    <row r="19" spans="3:4">
      <c r="C19" t="s">
        <v>485</v>
      </c>
      <c r="D19" t="s">
        <v>484</v>
      </c>
    </row>
    <row r="20" spans="3:4">
      <c r="C20" t="s">
        <v>486</v>
      </c>
      <c r="D20" t="s">
        <v>484</v>
      </c>
    </row>
    <row r="21" spans="3:4">
      <c r="C21" t="s">
        <v>487</v>
      </c>
      <c r="D21" t="s">
        <v>484</v>
      </c>
    </row>
    <row r="22" spans="3:4">
      <c r="C22" t="s">
        <v>488</v>
      </c>
      <c r="D22" t="s">
        <v>484</v>
      </c>
    </row>
    <row r="23" spans="3:4">
      <c r="C23" t="s">
        <v>489</v>
      </c>
      <c r="D23" t="s">
        <v>484</v>
      </c>
    </row>
    <row r="24" spans="3:4">
      <c r="C24" t="s">
        <v>490</v>
      </c>
      <c r="D24" t="s">
        <v>484</v>
      </c>
    </row>
    <row r="25" spans="3:4">
      <c r="C25" t="s">
        <v>491</v>
      </c>
      <c r="D25" t="s">
        <v>484</v>
      </c>
    </row>
    <row r="26" spans="3:4">
      <c r="C26" t="s">
        <v>492</v>
      </c>
      <c r="D26" t="s">
        <v>484</v>
      </c>
    </row>
    <row r="27" spans="3:4">
      <c r="C27" t="s">
        <v>493</v>
      </c>
      <c r="D27" t="s">
        <v>484</v>
      </c>
    </row>
    <row r="28" spans="3:4">
      <c r="C28" t="s">
        <v>494</v>
      </c>
      <c r="D28" t="s">
        <v>484</v>
      </c>
    </row>
    <row r="29" spans="3:4">
      <c r="C29" t="s">
        <v>495</v>
      </c>
      <c r="D29" t="s">
        <v>484</v>
      </c>
    </row>
    <row r="30" spans="3:4">
      <c r="C30" t="s">
        <v>496</v>
      </c>
      <c r="D30" t="s">
        <v>497</v>
      </c>
    </row>
    <row r="31" spans="3:4">
      <c r="C31" t="s">
        <v>498</v>
      </c>
      <c r="D31" t="s">
        <v>497</v>
      </c>
    </row>
    <row r="32" spans="3:4">
      <c r="C32" t="s">
        <v>499</v>
      </c>
      <c r="D32" t="s">
        <v>497</v>
      </c>
    </row>
    <row r="33" spans="3:4">
      <c r="C33" t="s">
        <v>500</v>
      </c>
      <c r="D33" t="s">
        <v>497</v>
      </c>
    </row>
    <row r="34" spans="3:4">
      <c r="C34" t="s">
        <v>501</v>
      </c>
      <c r="D34" t="s">
        <v>497</v>
      </c>
    </row>
    <row r="35" spans="3:4">
      <c r="C35" t="s">
        <v>502</v>
      </c>
      <c r="D35" t="s">
        <v>497</v>
      </c>
    </row>
    <row r="36" spans="3:4">
      <c r="C36" t="s">
        <v>503</v>
      </c>
      <c r="D36" t="s">
        <v>497</v>
      </c>
    </row>
    <row r="37" spans="3:4">
      <c r="C37" t="s">
        <v>504</v>
      </c>
      <c r="D37" t="s">
        <v>497</v>
      </c>
    </row>
    <row r="38" spans="3:4">
      <c r="C38" t="s">
        <v>505</v>
      </c>
      <c r="D38" t="s">
        <v>497</v>
      </c>
    </row>
    <row r="39" spans="3:4">
      <c r="C39" t="s">
        <v>506</v>
      </c>
      <c r="D39" t="s">
        <v>497</v>
      </c>
    </row>
    <row r="40" spans="3:4">
      <c r="C40" t="s">
        <v>507</v>
      </c>
      <c r="D40" t="s">
        <v>497</v>
      </c>
    </row>
    <row r="41" spans="3:4">
      <c r="C41" t="s">
        <v>508</v>
      </c>
      <c r="D41" t="s">
        <v>497</v>
      </c>
    </row>
    <row r="42" spans="3:4">
      <c r="C42" t="s">
        <v>509</v>
      </c>
      <c r="D42" t="s">
        <v>497</v>
      </c>
    </row>
    <row r="43" spans="3:4">
      <c r="C43" t="s">
        <v>510</v>
      </c>
      <c r="D43" t="s">
        <v>497</v>
      </c>
    </row>
    <row r="44" spans="3:4">
      <c r="C44" t="s">
        <v>511</v>
      </c>
      <c r="D44" t="s">
        <v>497</v>
      </c>
    </row>
    <row r="45" spans="3:4">
      <c r="C45" t="s">
        <v>512</v>
      </c>
      <c r="D45" t="s">
        <v>497</v>
      </c>
    </row>
    <row r="46" spans="3:4">
      <c r="C46" t="s">
        <v>513</v>
      </c>
      <c r="D46" t="s">
        <v>497</v>
      </c>
    </row>
    <row r="47" spans="3:4">
      <c r="C47" t="s">
        <v>450</v>
      </c>
      <c r="D47" t="s">
        <v>514</v>
      </c>
    </row>
    <row r="48" spans="3:4">
      <c r="C48" t="s">
        <v>515</v>
      </c>
    </row>
    <row r="49" spans="3:4">
      <c r="C49" t="s">
        <v>516</v>
      </c>
    </row>
    <row r="50" spans="3:4">
      <c r="C50" t="s">
        <v>517</v>
      </c>
      <c r="D50" t="s">
        <v>518</v>
      </c>
    </row>
    <row r="51" spans="3:4">
      <c r="C51" t="s">
        <v>519</v>
      </c>
      <c r="D51" t="s">
        <v>518</v>
      </c>
    </row>
    <row r="52" spans="3:4">
      <c r="C52" t="s">
        <v>520</v>
      </c>
      <c r="D52" t="s">
        <v>518</v>
      </c>
    </row>
    <row r="53" spans="3:4">
      <c r="C53" t="s">
        <v>521</v>
      </c>
      <c r="D53" t="s">
        <v>518</v>
      </c>
    </row>
    <row r="54" spans="3:4">
      <c r="C54" t="s">
        <v>522</v>
      </c>
      <c r="D54" t="s">
        <v>518</v>
      </c>
    </row>
    <row r="55" spans="3:4">
      <c r="C55" t="s">
        <v>523</v>
      </c>
      <c r="D55" t="s">
        <v>518</v>
      </c>
    </row>
    <row r="56" spans="3:4">
      <c r="C56" t="s">
        <v>524</v>
      </c>
      <c r="D56" t="s">
        <v>518</v>
      </c>
    </row>
    <row r="57" spans="3:4">
      <c r="C57" t="s">
        <v>525</v>
      </c>
      <c r="D57" t="s">
        <v>518</v>
      </c>
    </row>
    <row r="58" spans="3:4">
      <c r="C58" t="s">
        <v>526</v>
      </c>
      <c r="D58" t="s">
        <v>527</v>
      </c>
    </row>
    <row r="59" spans="3:4">
      <c r="C59" t="s">
        <v>528</v>
      </c>
      <c r="D59" t="s">
        <v>527</v>
      </c>
    </row>
    <row r="60" spans="3:4">
      <c r="C60" t="s">
        <v>529</v>
      </c>
      <c r="D60" t="s">
        <v>527</v>
      </c>
    </row>
    <row r="61" spans="3:4">
      <c r="C61" t="s">
        <v>530</v>
      </c>
      <c r="D61" t="s">
        <v>527</v>
      </c>
    </row>
    <row r="62" spans="3:4">
      <c r="C62" t="s">
        <v>531</v>
      </c>
      <c r="D62" t="s">
        <v>527</v>
      </c>
    </row>
    <row r="63" spans="3:4">
      <c r="C63" t="s">
        <v>532</v>
      </c>
      <c r="D63" t="s">
        <v>527</v>
      </c>
    </row>
    <row r="64" spans="3:4">
      <c r="C64" t="s">
        <v>533</v>
      </c>
      <c r="D64" t="s">
        <v>527</v>
      </c>
    </row>
    <row r="65" spans="3:4">
      <c r="C65" t="s">
        <v>534</v>
      </c>
      <c r="D65" t="s">
        <v>527</v>
      </c>
    </row>
    <row r="66" spans="3:4">
      <c r="C66" t="s">
        <v>535</v>
      </c>
      <c r="D66" t="s">
        <v>527</v>
      </c>
    </row>
    <row r="67" spans="3:4">
      <c r="C67" t="s">
        <v>536</v>
      </c>
      <c r="D67" t="s">
        <v>527</v>
      </c>
    </row>
    <row r="68" spans="3:4">
      <c r="C68" t="s">
        <v>537</v>
      </c>
      <c r="D68" t="s">
        <v>527</v>
      </c>
    </row>
    <row r="69" spans="3:4">
      <c r="C69" t="s">
        <v>538</v>
      </c>
      <c r="D69" t="s">
        <v>527</v>
      </c>
    </row>
    <row r="70" spans="3:4">
      <c r="C70" t="s">
        <v>539</v>
      </c>
      <c r="D70" t="s">
        <v>540</v>
      </c>
    </row>
    <row r="71" spans="3:4">
      <c r="C71" t="s">
        <v>541</v>
      </c>
      <c r="D71" t="s">
        <v>540</v>
      </c>
    </row>
    <row r="72" spans="3:4">
      <c r="C72" t="s">
        <v>542</v>
      </c>
      <c r="D72" t="s">
        <v>540</v>
      </c>
    </row>
    <row r="73" spans="3:4">
      <c r="C73" t="s">
        <v>543</v>
      </c>
      <c r="D73" t="s">
        <v>540</v>
      </c>
    </row>
    <row r="74" spans="3:4">
      <c r="C74" t="s">
        <v>544</v>
      </c>
      <c r="D74" t="s">
        <v>540</v>
      </c>
    </row>
    <row r="75" spans="3:4">
      <c r="C75" t="s">
        <v>545</v>
      </c>
      <c r="D75" t="s">
        <v>540</v>
      </c>
    </row>
    <row r="76" spans="3:4">
      <c r="C76" t="s">
        <v>546</v>
      </c>
      <c r="D76" t="s">
        <v>540</v>
      </c>
    </row>
    <row r="77" spans="3:4">
      <c r="C77" t="s">
        <v>547</v>
      </c>
      <c r="D77" t="s">
        <v>548</v>
      </c>
    </row>
    <row r="78" spans="3:4">
      <c r="C78" t="s">
        <v>549</v>
      </c>
      <c r="D78" t="s">
        <v>548</v>
      </c>
    </row>
    <row r="79" spans="3:4">
      <c r="C79" t="s">
        <v>550</v>
      </c>
      <c r="D79" t="s">
        <v>548</v>
      </c>
    </row>
    <row r="80" spans="3:4">
      <c r="C80" t="s">
        <v>551</v>
      </c>
      <c r="D80" t="s">
        <v>548</v>
      </c>
    </row>
    <row r="81" spans="3:4">
      <c r="C81" t="s">
        <v>552</v>
      </c>
      <c r="D81" t="s">
        <v>548</v>
      </c>
    </row>
    <row r="82" spans="3:4">
      <c r="C82" t="s">
        <v>553</v>
      </c>
      <c r="D82" t="s">
        <v>548</v>
      </c>
    </row>
    <row r="83" spans="3:4">
      <c r="C83" t="s">
        <v>554</v>
      </c>
      <c r="D83" t="s">
        <v>548</v>
      </c>
    </row>
    <row r="84" spans="3:4">
      <c r="C84" t="s">
        <v>555</v>
      </c>
      <c r="D84" t="s">
        <v>556</v>
      </c>
    </row>
    <row r="85" spans="3:4">
      <c r="C85" t="s">
        <v>557</v>
      </c>
      <c r="D85" t="s">
        <v>556</v>
      </c>
    </row>
    <row r="86" spans="3:4">
      <c r="C86" t="s">
        <v>558</v>
      </c>
      <c r="D86" t="s">
        <v>556</v>
      </c>
    </row>
    <row r="87" spans="3:4">
      <c r="C87" t="s">
        <v>559</v>
      </c>
      <c r="D87" t="s">
        <v>556</v>
      </c>
    </row>
    <row r="88" spans="3:4">
      <c r="C88" t="s">
        <v>560</v>
      </c>
      <c r="D88" t="s">
        <v>556</v>
      </c>
    </row>
    <row r="89" spans="3:4">
      <c r="C89" t="s">
        <v>561</v>
      </c>
      <c r="D89" t="s">
        <v>556</v>
      </c>
    </row>
    <row r="90" spans="3:4">
      <c r="C90" t="s">
        <v>562</v>
      </c>
      <c r="D90" t="s">
        <v>556</v>
      </c>
    </row>
    <row r="91" spans="3:4">
      <c r="C91" t="s">
        <v>563</v>
      </c>
      <c r="D91" t="s">
        <v>564</v>
      </c>
    </row>
    <row r="92" spans="3:4">
      <c r="C92" t="s">
        <v>565</v>
      </c>
      <c r="D92" t="s">
        <v>564</v>
      </c>
    </row>
    <row r="93" spans="3:4">
      <c r="C93" t="s">
        <v>566</v>
      </c>
      <c r="D93" t="s">
        <v>564</v>
      </c>
    </row>
    <row r="94" spans="3:4">
      <c r="C94" t="s">
        <v>567</v>
      </c>
      <c r="D94" t="s">
        <v>564</v>
      </c>
    </row>
    <row r="95" spans="3:4">
      <c r="C95" t="s">
        <v>568</v>
      </c>
      <c r="D95" t="s">
        <v>564</v>
      </c>
    </row>
    <row r="96" spans="3:4">
      <c r="C96" t="s">
        <v>569</v>
      </c>
      <c r="D96" t="s">
        <v>564</v>
      </c>
    </row>
    <row r="97" spans="3:4">
      <c r="C97" t="s">
        <v>570</v>
      </c>
      <c r="D97" t="s">
        <v>564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41477b6b-9911-4ac1-9f51-e6fdac6f94ab" xsi:nil="true"/>
    <lcf76f155ced4ddcb4097134ff3c332f xmlns="f8e636e4-0172-4164-8c82-1827d792f5d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15BAF6E043B184D919D8A648758177C" ma:contentTypeVersion="10" ma:contentTypeDescription="Create a new document." ma:contentTypeScope="" ma:versionID="d6ba920f757b07f47e23e6b8b2ae59bb">
  <xsd:schema xmlns:xsd="http://www.w3.org/2001/XMLSchema" xmlns:xs="http://www.w3.org/2001/XMLSchema" xmlns:p="http://schemas.microsoft.com/office/2006/metadata/properties" xmlns:ns2="f8e636e4-0172-4164-8c82-1827d792f5d3" xmlns:ns3="41477b6b-9911-4ac1-9f51-e6fdac6f94ab" targetNamespace="http://schemas.microsoft.com/office/2006/metadata/properties" ma:root="true" ma:fieldsID="cc6759cf6ef65e2efaf35e85348cea56" ns2:_="" ns3:_="">
    <xsd:import namespace="f8e636e4-0172-4164-8c82-1827d792f5d3"/>
    <xsd:import namespace="41477b6b-9911-4ac1-9f51-e6fdac6f94a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8e636e4-0172-4164-8c82-1827d792f5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e9e90a8-b24c-4be7-8760-a88b2cd47eb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477b6b-9911-4ac1-9f51-e6fdac6f94a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b50a83a-5119-49f0-8881-1368ed1615a3}" ma:internalName="TaxCatchAll" ma:showField="CatchAllData" ma:web="41477b6b-9911-4ac1-9f51-e6fdac6f94a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F2E867-6EEE-4713-A58A-46868C203D6A}"/>
</file>

<file path=customXml/itemProps2.xml><?xml version="1.0" encoding="utf-8"?>
<ds:datastoreItem xmlns:ds="http://schemas.openxmlformats.org/officeDocument/2006/customXml" ds:itemID="{175023FD-324C-4E38-8EC1-30D02F2CBC70}"/>
</file>

<file path=customXml/itemProps3.xml><?xml version="1.0" encoding="utf-8"?>
<ds:datastoreItem xmlns:ds="http://schemas.openxmlformats.org/officeDocument/2006/customXml" ds:itemID="{B39EBD45-E87A-41FF-A19F-2ED9D6DC1F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ROOT, MICHAEL J CIV USAF USSPACECOM USSPACECOM/J4</dc:creator>
  <cp:keywords/>
  <dc:description/>
  <cp:lastModifiedBy>James Tillman</cp:lastModifiedBy>
  <cp:revision/>
  <dcterms:created xsi:type="dcterms:W3CDTF">2015-06-05T18:17:20Z</dcterms:created>
  <dcterms:modified xsi:type="dcterms:W3CDTF">2026-01-13T04:32:38Z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0x010100F15BAF6E043B184D919D8A648758177C</vt:lpwstr>
  </property>
  <property fmtid="{D5CDD505-2E9C-101B-9397-08002B2CF9AE}" pid="3" name="MediaServiceImageTags">
    <vt:lpwstr/>
  </property>
</Properties>
</file>